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I CORE I5 11TH\Downloads\"/>
    </mc:Choice>
  </mc:AlternateContent>
  <xr:revisionPtr revIDLastSave="0" documentId="13_ncr:1_{6BC9174C-D196-45D5-B741-4DC46DF551D6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720" xr2:uid="{9F928C6E-E1A1-4FF8-964C-929379855194}"/>
  </bookViews>
  <sheets>
    <sheet name="Formulario" sheetId="12" r:id="rId1"/>
    <sheet name="ENUNCIADO" sheetId="15" state="hidden" r:id="rId2"/>
    <sheet name="1,2" sheetId="2" state="hidden" r:id="rId3"/>
    <sheet name="3" sheetId="3" state="hidden" r:id="rId4"/>
    <sheet name="4" sheetId="6" state="hidden" r:id="rId5"/>
    <sheet name="5" sheetId="7" state="hidden" r:id="rId6"/>
    <sheet name="6" sheetId="8" state="hidden" r:id="rId7"/>
    <sheet name="7" sheetId="10" state="hidden" r:id="rId8"/>
    <sheet name="Respuestas &amp; Puntos" sheetId="17" state="hidden" r:id="rId9"/>
  </sheets>
  <externalReferences>
    <externalReference r:id="rId10"/>
  </externalReferences>
  <definedNames>
    <definedName name="_xlnm._FilterDatabase" localSheetId="2" hidden="1">'1,2'!$C$1:$C$22</definedName>
    <definedName name="_xlnm._FilterDatabase" localSheetId="3" hidden="1">'3'!$C$3:$J$12</definedName>
    <definedName name="_xlnm._FilterDatabase" localSheetId="4" hidden="1">'4'!$C$3:$J$7</definedName>
    <definedName name="_xlnm._FilterDatabase" localSheetId="5" hidden="1">'5'!$C$3:$J$17</definedName>
    <definedName name="_xlnm._FilterDatabase" localSheetId="6" hidden="1">'6'!$H$3:$H$14</definedName>
    <definedName name="_xlnm._FilterDatabase" localSheetId="7" hidden="1">'7'!$B$2:$C$2</definedName>
    <definedName name="_xlnm._FilterDatabase" localSheetId="8" hidden="1">'Respuestas &amp; Puntos'!$J$2:$O$2</definedName>
    <definedName name="_xleta.MATCH" hidden="1" xlm="1">#NAME?</definedName>
    <definedName name="_xleta.MODE" hidden="1" xlm="1">#NAME?</definedName>
    <definedName name="Departamento">'[1]Validacion de datos'!$C$120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D20" i="8"/>
  <c r="D19" i="8"/>
  <c r="D13" i="6"/>
  <c r="D12" i="6"/>
  <c r="C25" i="2"/>
  <c r="A1" i="12"/>
  <c r="P37" i="17"/>
  <c r="P35" i="17"/>
  <c r="P30" i="17"/>
  <c r="P29" i="17"/>
  <c r="P27" i="17"/>
  <c r="P22" i="17"/>
  <c r="P21" i="17"/>
  <c r="P15" i="17"/>
  <c r="P14" i="17"/>
  <c r="P9" i="17"/>
  <c r="P8" i="17"/>
  <c r="P6" i="17"/>
  <c r="P3" i="17"/>
  <c r="C13" i="12" l="1"/>
  <c r="C12" i="12"/>
  <c r="J36" i="17" l="1"/>
  <c r="P36" i="17" s="1"/>
  <c r="J23" i="17"/>
  <c r="P23" i="17" s="1"/>
  <c r="J39" i="17"/>
  <c r="P39" i="17" s="1"/>
  <c r="J38" i="17"/>
  <c r="P38" i="17" s="1"/>
  <c r="J28" i="17"/>
  <c r="P28" i="17" s="1"/>
  <c r="J17" i="17"/>
  <c r="P17" i="17" s="1"/>
  <c r="J16" i="17"/>
  <c r="P16" i="17" s="1"/>
  <c r="J10" i="17"/>
  <c r="P10" i="17" s="1"/>
  <c r="J4" i="17"/>
  <c r="P4" i="17" s="1"/>
  <c r="J31" i="17" l="1"/>
  <c r="P31" i="17" s="1"/>
  <c r="N1" i="17" s="1"/>
  <c r="M3" i="12"/>
  <c r="C11" i="12" s="1"/>
  <c r="C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NAVARROHIGUERA, JUANDAVID {PI}</author>
  </authors>
  <commentList>
    <comment ref="L3" authorId="0" shapeId="0" xr:uid="{158F13F6-9EEF-458C-92ED-206975841DA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6" authorId="0" shapeId="0" xr:uid="{40A8F5DF-EF82-47FE-8A8A-C3E993CF17E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EB39D60A-655B-4281-989F-1354F7A75A7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9" authorId="0" shapeId="0" xr:uid="{A4D88770-99F9-41FF-97EC-FC6255B8FF97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 xr:uid="{1321B977-7A0D-4721-8B27-43B6A335395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15" authorId="0" shapeId="0" xr:uid="{5BF2645B-2DD9-4C65-82E5-1F5E7B69184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21" authorId="0" shapeId="0" xr:uid="{1BBA97CE-E279-4C77-8897-4290C418A27D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22" authorId="0" shapeId="0" xr:uid="{5890A01B-F481-4D41-B537-6030865102D2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27" authorId="0" shapeId="0" xr:uid="{13F23545-8F85-452D-B5A8-BBFC0F54335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29" authorId="0" shapeId="0" xr:uid="{6036CB34-A3FC-4E98-B442-637758E75EB6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30" authorId="0" shapeId="0" xr:uid="{C58EFD2E-CEB2-401F-BE46-8F3A0A59341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35" authorId="0" shapeId="0" xr:uid="{D66B669E-764B-4260-8297-1C057E4CA78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L37" authorId="0" shapeId="0" xr:uid="{FE59322A-3802-4B24-B200-389D0F81E50A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<sst xmlns="http://schemas.openxmlformats.org/spreadsheetml/2006/main" count="526" uniqueCount="184">
  <si>
    <t>ID empleado</t>
  </si>
  <si>
    <t>Salario</t>
  </si>
  <si>
    <t>ID empleado;Apellido;Nombre;Seccional;Facultad;Cargo;Salario;Días Trabaj.</t>
  </si>
  <si>
    <t>1068;Vergara;Amalia;Medellín;Ingeniería;Docente;3200000;19</t>
  </si>
  <si>
    <t>1153;Ramírez;Tomas;Medellín;Administración;Técnico;1350000;16</t>
  </si>
  <si>
    <t>1290;Cifuentes;Oscar;Medellín;Administración;Docente;1350000;15</t>
  </si>
  <si>
    <t>1293;Jiménez;Karina;Medellín;Ingeniería;Técnico;1700000;27</t>
  </si>
  <si>
    <t>1303;López;Dinara;Bogotá;Ingeniería;Administrativo;5600000;15</t>
  </si>
  <si>
    <t>1333;Cano;Carolina;Bogotá;Ingeniería;Docente;3200000;28</t>
  </si>
  <si>
    <t>1359;Vallejo;Sara;Medellín;Diseño;Docente;2300000;27</t>
  </si>
  <si>
    <t>1369;Cano;Sandra;Bogotá;Publicidad;Administrativo;4200000;22</t>
  </si>
  <si>
    <t>1518;Vásquez;Leonardo;Bucaramanga;Ingeniería;Docente;2600000;27</t>
  </si>
  <si>
    <t>1529;Gómez;Mariana;Bogotá;Publicidad;Docente;3200000;20</t>
  </si>
  <si>
    <t>1530;Ospina;Daniel;Bogotá;Administración;Docente;1460000;24</t>
  </si>
  <si>
    <t>1656;Arango;Tatiana;Bogotá;Diseño;Administrativo;2500000;18</t>
  </si>
  <si>
    <t>1673;Zapata;Stephanie;Bucaramanga;Ingeniería;Docente;1350000;16</t>
  </si>
  <si>
    <t>1725;Márquez;Isabella;Bucaramanga;Administración;Administrativo;5600000;23</t>
  </si>
  <si>
    <t>1793;Betancur;Gonzalo;Bucaramanga;Administración;Docente;1350000;25</t>
  </si>
  <si>
    <t>1815;Caro;Diana;Medellín;Ingeniería;Administrativo;5600000;22</t>
  </si>
  <si>
    <t>1907;Acevedo;Melina;Medellín;Diseño;Administrativo;2600000;17</t>
  </si>
  <si>
    <t>1908;Diez;Patricia;Bogotá;Administración;Administrativo;5600000;28</t>
  </si>
  <si>
    <t>1923;Guerra;Lisa;Medellín;Diseño;Docente;2300000;30</t>
  </si>
  <si>
    <t>1950;Granda;Luisa;Medellín;Diseño;Docente;4900000;22</t>
  </si>
  <si>
    <t>SI</t>
  </si>
  <si>
    <t>NO</t>
  </si>
  <si>
    <t>TOTAL</t>
  </si>
  <si>
    <t>INFORMACIÓN PARA DESARROLLO</t>
  </si>
  <si>
    <t>Nombre Completo:</t>
  </si>
  <si>
    <t>Score:</t>
  </si>
  <si>
    <t>Divida los datos en columnas, luego cópielos y péguelos en la hoja (1,2)</t>
  </si>
  <si>
    <t>Punto #1</t>
  </si>
  <si>
    <t>Asigne formato basico (Bordes, rellenos, etc) a los datos divididos en la hoja (1,2).</t>
  </si>
  <si>
    <t>Punto #2</t>
  </si>
  <si>
    <t>Punto #3</t>
  </si>
  <si>
    <t>1.2</t>
  </si>
  <si>
    <t>1.1</t>
  </si>
  <si>
    <t>2.</t>
  </si>
  <si>
    <t>3.1</t>
  </si>
  <si>
    <t>3.2</t>
  </si>
  <si>
    <t>3.3</t>
  </si>
  <si>
    <t>Dirígte a la hoja "(1,2)" y borra el filtro aplicado en la tabla principal.</t>
  </si>
  <si>
    <t>Punto #4</t>
  </si>
  <si>
    <t>4.1</t>
  </si>
  <si>
    <t>4.2</t>
  </si>
  <si>
    <t>4.3</t>
  </si>
  <si>
    <t>Punto #5</t>
  </si>
  <si>
    <t>5.1</t>
  </si>
  <si>
    <t>5.2</t>
  </si>
  <si>
    <t>4.4</t>
  </si>
  <si>
    <t>5.3</t>
  </si>
  <si>
    <t>Punto #6</t>
  </si>
  <si>
    <t>6.1</t>
  </si>
  <si>
    <t>6.2</t>
  </si>
  <si>
    <t>6.3</t>
  </si>
  <si>
    <t>6.4</t>
  </si>
  <si>
    <t>6.5</t>
  </si>
  <si>
    <t>Punto #7</t>
  </si>
  <si>
    <t>7.</t>
  </si>
  <si>
    <t>7.1</t>
  </si>
  <si>
    <t>Resultados Candidato</t>
  </si>
  <si>
    <t>Resultados Esperados</t>
  </si>
  <si>
    <t>Hora Inicio</t>
  </si>
  <si>
    <t>Hora Fin</t>
  </si>
  <si>
    <t>Tiempo:</t>
  </si>
  <si>
    <t>1792;Arango ;Monica;Bogotá;Diseño;Técnico;2000000;23</t>
  </si>
  <si>
    <r>
      <t xml:space="preserve">Con la copia de los resultados cree un gráfico Circular 3D representando el </t>
    </r>
    <r>
      <rPr>
        <b/>
        <sz val="11"/>
        <rFont val="Calibri"/>
        <family val="2"/>
        <scheme val="minor"/>
      </rPr>
      <t>Salario</t>
    </r>
    <r>
      <rPr>
        <sz val="11"/>
        <rFont val="Calibri"/>
        <family val="2"/>
        <scheme val="minor"/>
      </rPr>
      <t xml:space="preserve"> y el </t>
    </r>
    <r>
      <rPr>
        <b/>
        <sz val="11"/>
        <rFont val="Calibri"/>
        <family val="2"/>
        <scheme val="minor"/>
      </rPr>
      <t>Apellido</t>
    </r>
    <r>
      <rPr>
        <sz val="11"/>
        <rFont val="Calibri"/>
        <family val="2"/>
        <scheme val="minor"/>
      </rPr>
      <t xml:space="preserve"> del empleado, agregue </t>
    </r>
    <r>
      <rPr>
        <b/>
        <sz val="11"/>
        <rFont val="Calibri"/>
        <family val="2"/>
        <scheme val="minor"/>
      </rPr>
      <t>porcentajes</t>
    </r>
    <r>
      <rPr>
        <sz val="11"/>
        <rFont val="Calibri"/>
        <family val="2"/>
        <scheme val="minor"/>
      </rPr>
      <t xml:space="preserve"> al gráfico.</t>
    </r>
  </si>
  <si>
    <t>Total puntos</t>
  </si>
  <si>
    <t>Puntos Obtenidos</t>
  </si>
  <si>
    <r>
      <t xml:space="preserve">Con la copia de los resultados cree un gráfico de Línea representando los </t>
    </r>
    <r>
      <rPr>
        <b/>
        <sz val="11"/>
        <rFont val="Calibri"/>
        <family val="2"/>
        <scheme val="minor"/>
      </rPr>
      <t>Días Trabajados</t>
    </r>
    <r>
      <rPr>
        <sz val="11"/>
        <rFont val="Calibri"/>
        <family val="2"/>
        <scheme val="minor"/>
      </rPr>
      <t xml:space="preserve"> y el </t>
    </r>
    <r>
      <rPr>
        <b/>
        <sz val="11"/>
        <rFont val="Calibri"/>
        <family val="2"/>
        <scheme val="minor"/>
      </rPr>
      <t>Nombre</t>
    </r>
    <r>
      <rPr>
        <sz val="11"/>
        <rFont val="Calibri"/>
        <family val="2"/>
        <scheme val="minor"/>
      </rPr>
      <t xml:space="preserve"> del empleado. Ordénelo de mayor a menor en la columna </t>
    </r>
    <r>
      <rPr>
        <b/>
        <sz val="11"/>
        <rFont val="Calibri"/>
        <family val="2"/>
        <scheme val="minor"/>
      </rPr>
      <t>Días Trabaj.</t>
    </r>
    <r>
      <rPr>
        <sz val="11"/>
        <rFont val="Calibri"/>
        <family val="2"/>
        <scheme val="minor"/>
      </rPr>
      <t xml:space="preserve">  y agregue títulos a los ejes.</t>
    </r>
  </si>
  <si>
    <r>
      <t xml:space="preserve">Con la copia de los resultados cree un gráfico dinámico (Gráfico de </t>
    </r>
    <r>
      <rPr>
        <b/>
        <sz val="11"/>
        <color theme="1"/>
        <rFont val="Calibri"/>
        <family val="2"/>
        <scheme val="minor"/>
      </rPr>
      <t>Columna Agrupada 3D</t>
    </r>
    <r>
      <rPr>
        <sz val="11"/>
        <color theme="1"/>
        <rFont val="Calibri"/>
        <family val="2"/>
        <scheme val="minor"/>
      </rPr>
      <t xml:space="preserve">) en la misma hoja (6) representando el </t>
    </r>
    <r>
      <rPr>
        <b/>
        <sz val="11"/>
        <color theme="1"/>
        <rFont val="Calibri"/>
        <family val="2"/>
        <scheme val="minor"/>
      </rPr>
      <t>Salario</t>
    </r>
    <r>
      <rPr>
        <sz val="11"/>
        <color theme="1"/>
        <rFont val="Calibri"/>
        <family val="2"/>
        <scheme val="minor"/>
      </rPr>
      <t xml:space="preserve"> y el </t>
    </r>
    <r>
      <rPr>
        <b/>
        <sz val="11"/>
        <color theme="1"/>
        <rFont val="Calibri"/>
        <family val="2"/>
        <scheme val="minor"/>
      </rPr>
      <t>Nombre</t>
    </r>
    <r>
      <rPr>
        <sz val="11"/>
        <color theme="1"/>
        <rFont val="Calibri"/>
        <family val="2"/>
        <scheme val="minor"/>
      </rPr>
      <t xml:space="preserve"> del empleado ordenando de mayor a menor en la columna </t>
    </r>
    <r>
      <rPr>
        <b/>
        <sz val="11"/>
        <color theme="1"/>
        <rFont val="Calibri"/>
        <family val="2"/>
        <scheme val="minor"/>
      </rPr>
      <t xml:space="preserve">Salario </t>
    </r>
    <r>
      <rPr>
        <sz val="11"/>
        <color theme="1"/>
        <rFont val="Calibri"/>
        <family val="2"/>
        <scheme val="minor"/>
      </rPr>
      <t>de la tabla dinámica.</t>
    </r>
  </si>
  <si>
    <t>7.2</t>
  </si>
  <si>
    <t>7.3</t>
  </si>
  <si>
    <r>
      <t xml:space="preserve">Crea una regla de formato condicional para que las celdas de los </t>
    </r>
    <r>
      <rPr>
        <b/>
        <sz val="11"/>
        <color theme="1"/>
        <rFont val="Calibri"/>
        <family val="2"/>
        <scheme val="minor"/>
      </rPr>
      <t xml:space="preserve">Salarios </t>
    </r>
    <r>
      <rPr>
        <sz val="11"/>
        <color theme="1"/>
        <rFont val="Calibri"/>
        <family val="2"/>
        <scheme val="minor"/>
      </rPr>
      <t>menores a $3,000,000 aparezcan en rojo</t>
    </r>
  </si>
  <si>
    <r>
      <t xml:space="preserve">Indique cuántos empleados hay en total usando la fórmula </t>
    </r>
    <r>
      <rPr>
        <b/>
        <sz val="11"/>
        <color theme="1"/>
        <rFont val="Calibri"/>
        <family val="2"/>
        <scheme val="minor"/>
      </rPr>
      <t>CONTAR</t>
    </r>
    <r>
      <rPr>
        <sz val="11"/>
        <color theme="1"/>
        <rFont val="Calibri"/>
        <family val="2"/>
        <scheme val="minor"/>
      </rPr>
      <t>.</t>
    </r>
  </si>
  <si>
    <r>
      <t xml:space="preserve">Use la fórmula </t>
    </r>
    <r>
      <rPr>
        <b/>
        <sz val="11"/>
        <color theme="1"/>
        <rFont val="Calibri"/>
        <family val="2"/>
        <scheme val="minor"/>
      </rPr>
      <t>SUMA</t>
    </r>
    <r>
      <rPr>
        <sz val="11"/>
        <color theme="1"/>
        <rFont val="Calibri"/>
        <family val="2"/>
        <scheme val="minor"/>
      </rPr>
      <t xml:space="preserve"> e indique para indicar el total de días trabajados.</t>
    </r>
  </si>
  <si>
    <r>
      <t xml:space="preserve">Use la fórmula </t>
    </r>
    <r>
      <rPr>
        <b/>
        <sz val="11"/>
        <color theme="1"/>
        <rFont val="Calibri"/>
        <family val="2"/>
        <scheme val="minor"/>
      </rPr>
      <t>PROMEDIO</t>
    </r>
    <r>
      <rPr>
        <sz val="11"/>
        <color theme="1"/>
        <rFont val="Calibri"/>
        <family val="2"/>
        <scheme val="minor"/>
      </rPr>
      <t xml:space="preserve"> e indique el promedio de los días trabajados.</t>
    </r>
  </si>
  <si>
    <r>
      <t xml:space="preserve">¿Cuál es la </t>
    </r>
    <r>
      <rPr>
        <b/>
        <sz val="11"/>
        <color theme="1"/>
        <rFont val="Calibri"/>
        <family val="2"/>
        <scheme val="minor"/>
      </rPr>
      <t xml:space="preserve">Moda </t>
    </r>
    <r>
      <rPr>
        <sz val="11"/>
        <color theme="1"/>
        <rFont val="Calibri"/>
        <family val="2"/>
        <scheme val="minor"/>
      </rPr>
      <t xml:space="preserve">de los </t>
    </r>
    <r>
      <rPr>
        <b/>
        <sz val="11"/>
        <color theme="1"/>
        <rFont val="Calibri"/>
        <family val="2"/>
        <scheme val="minor"/>
      </rPr>
      <t>Días Trabaj.</t>
    </r>
    <r>
      <rPr>
        <sz val="11"/>
        <color theme="1"/>
        <rFont val="Calibri"/>
        <family val="2"/>
        <scheme val="minor"/>
      </rPr>
      <t>? (El resultado debe ser obtenido mediante la formula)</t>
    </r>
  </si>
  <si>
    <t>7.4</t>
  </si>
  <si>
    <t>Hora Inicio:</t>
  </si>
  <si>
    <t>Hora Fin:</t>
  </si>
  <si>
    <r>
      <t>Dirígete a la hoja (7) y con la fórmula (</t>
    </r>
    <r>
      <rPr>
        <b/>
        <sz val="11"/>
        <color theme="1"/>
        <rFont val="Calibri"/>
        <family val="2"/>
        <scheme val="minor"/>
      </rPr>
      <t>BUSCARV</t>
    </r>
    <r>
      <rPr>
        <sz val="11"/>
        <color theme="1"/>
        <rFont val="Calibri"/>
        <family val="2"/>
        <scheme val="minor"/>
      </rPr>
      <t xml:space="preserve">) agrega el </t>
    </r>
    <r>
      <rPr>
        <b/>
        <sz val="11"/>
        <color theme="1"/>
        <rFont val="Calibri"/>
        <family val="2"/>
        <scheme val="minor"/>
      </rPr>
      <t>Salario</t>
    </r>
    <r>
      <rPr>
        <sz val="11"/>
        <color theme="1"/>
        <rFont val="Calibri"/>
        <family val="2"/>
        <scheme val="minor"/>
      </rPr>
      <t xml:space="preserve"> correspondiente a cada </t>
    </r>
    <r>
      <rPr>
        <b/>
        <sz val="11"/>
        <color theme="1"/>
        <rFont val="Calibri"/>
        <family val="2"/>
        <scheme val="minor"/>
      </rPr>
      <t>ID empleado</t>
    </r>
  </si>
  <si>
    <t>Con la copia de los resultados cree un gráfico de Línea representando los Días Trabajados y el Nombre del empleado. Ordénelo de mayor a menor en la columna Días Trabaj.  y agregue títulos a los ejes.</t>
  </si>
  <si>
    <t>Con la copia de los resultados cree un gráfico Circular 3D representando el Salario y el Apellido del empleado, agregue porcentajes al gráfico.</t>
  </si>
  <si>
    <t>Con la copia de los resultados cree un gráfico dinámico (Gráfico de Columna Agrupada 3D) en la misma hoja (6) representando el Salario y el Nombre del empleado ordenando de mayor a menor en la columna Salario de la tabla dinámica.</t>
  </si>
  <si>
    <t>Crea una regla de formato condicional para que las celdas de los Salarios menores a $3,000,000 aparezcan en rojo</t>
  </si>
  <si>
    <t>Ver Respuesta</t>
  </si>
  <si>
    <t>Cédula:</t>
  </si>
  <si>
    <t>PRUEBA DE EXCEL</t>
  </si>
  <si>
    <r>
      <t xml:space="preserve">Inserta tus respuestas en las celdas de </t>
    </r>
    <r>
      <rPr>
        <b/>
        <sz val="11"/>
        <color rgb="FFFFFF00"/>
        <rFont val="Calibri"/>
        <family val="2"/>
        <scheme val="minor"/>
      </rPr>
      <t xml:space="preserve">color amarillo </t>
    </r>
    <r>
      <rPr>
        <b/>
        <sz val="11"/>
        <color theme="0" tint="-4.9989318521683403E-2"/>
        <rFont val="Calibri"/>
        <family val="2"/>
        <scheme val="minor"/>
      </rPr>
      <t>en esta hoja (No crear hojas adicionales ni cambiar el nombre a las hojas).
No te detengas mucho tiempo en un solo punto, recuerda que tienes 1 hora.</t>
    </r>
  </si>
  <si>
    <r>
      <t xml:space="preserve">Filtre la tabla que acaba de realizar en la hoja (1,2) mostrando solamente a las personas de seccional </t>
    </r>
    <r>
      <rPr>
        <b/>
        <sz val="11"/>
        <color theme="1"/>
        <rFont val="Calibri"/>
        <family val="2"/>
        <scheme val="minor"/>
      </rPr>
      <t>Medellín</t>
    </r>
    <r>
      <rPr>
        <sz val="11"/>
        <color theme="1"/>
        <rFont val="Calibri"/>
        <family val="2"/>
        <scheme val="minor"/>
      </rPr>
      <t>. Copie y pegue los resultados en la hoja (3)</t>
    </r>
  </si>
  <si>
    <r>
      <t xml:space="preserve">Con la copia de los resultados, cree un gráfico de columna agrupada representando el </t>
    </r>
    <r>
      <rPr>
        <b/>
        <sz val="11"/>
        <rFont val="Calibri"/>
        <family val="2"/>
        <scheme val="minor"/>
      </rPr>
      <t>Salario</t>
    </r>
    <r>
      <rPr>
        <sz val="11"/>
        <rFont val="Calibri"/>
        <family val="2"/>
        <scheme val="minor"/>
      </rPr>
      <t xml:space="preserve"> y el </t>
    </r>
    <r>
      <rPr>
        <b/>
        <sz val="11"/>
        <rFont val="Calibri"/>
        <family val="2"/>
        <scheme val="minor"/>
      </rPr>
      <t>Nombre</t>
    </r>
    <r>
      <rPr>
        <sz val="11"/>
        <rFont val="Calibri"/>
        <family val="2"/>
        <scheme val="minor"/>
      </rPr>
      <t xml:space="preserve"> del empleado, ordénelo de </t>
    </r>
    <r>
      <rPr>
        <u/>
        <sz val="11"/>
        <rFont val="Calibri"/>
        <family val="2"/>
        <scheme val="minor"/>
      </rPr>
      <t>mayor a menor</t>
    </r>
    <r>
      <rPr>
        <sz val="11"/>
        <rFont val="Calibri"/>
        <family val="2"/>
        <scheme val="minor"/>
      </rPr>
      <t xml:space="preserve"> en la columna </t>
    </r>
    <r>
      <rPr>
        <b/>
        <sz val="11"/>
        <rFont val="Calibri"/>
        <family val="2"/>
        <scheme val="minor"/>
      </rPr>
      <t>Salario</t>
    </r>
    <r>
      <rPr>
        <sz val="11"/>
        <rFont val="Calibri"/>
        <family val="2"/>
        <scheme val="minor"/>
      </rPr>
      <t xml:space="preserve"> y agregue etiquetas de datos y línea de tendencia</t>
    </r>
    <r>
      <rPr>
        <b/>
        <sz val="11"/>
        <rFont val="Calibri"/>
        <family val="2"/>
        <scheme val="minor"/>
      </rPr>
      <t xml:space="preserve"> lineal</t>
    </r>
    <r>
      <rPr>
        <sz val="11"/>
        <rFont val="Calibri"/>
        <family val="2"/>
        <scheme val="minor"/>
      </rPr>
      <t>.</t>
    </r>
  </si>
  <si>
    <t>Filtre la tabla que acaba de realizar en la hoja (1,2) mostrando solamente a las personas de seccional Medellín. Copie y pegue los resultados en la hoja (3)</t>
  </si>
  <si>
    <r>
      <t xml:space="preserve">Digíte el </t>
    </r>
    <r>
      <rPr>
        <b/>
        <sz val="11"/>
        <color theme="1"/>
        <rFont val="Calibri"/>
        <family val="2"/>
        <scheme val="minor"/>
      </rPr>
      <t>ID del empleado</t>
    </r>
    <r>
      <rPr>
        <sz val="11"/>
        <color theme="1"/>
        <rFont val="Calibri"/>
        <family val="2"/>
        <scheme val="minor"/>
      </rPr>
      <t xml:space="preserve"> con el </t>
    </r>
    <r>
      <rPr>
        <b/>
        <sz val="11"/>
        <color theme="1"/>
        <rFont val="Calibri"/>
        <family val="2"/>
        <scheme val="minor"/>
      </rPr>
      <t>salario</t>
    </r>
    <r>
      <rPr>
        <sz val="11"/>
        <color theme="1"/>
        <rFont val="Calibri"/>
        <family val="2"/>
        <scheme val="minor"/>
      </rPr>
      <t xml:space="preserve"> más alto después de "</t>
    </r>
    <r>
      <rPr>
        <b/>
        <sz val="11"/>
        <color theme="1"/>
        <rFont val="Calibri"/>
        <family val="2"/>
        <scheme val="minor"/>
      </rPr>
      <t>Melina Acevedo</t>
    </r>
    <r>
      <rPr>
        <sz val="11"/>
        <color theme="1"/>
        <rFont val="Calibri"/>
        <family val="2"/>
        <scheme val="minor"/>
      </rPr>
      <t>"</t>
    </r>
  </si>
  <si>
    <t>Digíte el ID del empleado con el salario más alto después de "Melina Acevedo"</t>
  </si>
  <si>
    <r>
      <t xml:space="preserve">Filtre la tabla mostrando solamente a las personas de cargo </t>
    </r>
    <r>
      <rPr>
        <b/>
        <sz val="11"/>
        <color theme="1"/>
        <rFont val="Calibri"/>
        <family val="2"/>
        <scheme val="minor"/>
      </rPr>
      <t>Administrativo</t>
    </r>
    <r>
      <rPr>
        <sz val="11"/>
        <color theme="1"/>
        <rFont val="Calibri"/>
        <family val="2"/>
        <scheme val="minor"/>
      </rPr>
      <t xml:space="preserve"> con un total de (20 o más) días trabajados. Copie y pegue los resultados en la hoja "(4)"</t>
    </r>
  </si>
  <si>
    <t>Filtre la tabla mostrando solamente a las personas de cargo Administrativo con un total de (20 o más) días trabajados. Copie y pegue los resultados en la hoja "(4)"</t>
  </si>
  <si>
    <r>
      <t xml:space="preserve">Filtre la tabla mostrando solamente a las personas cuyo </t>
    </r>
    <r>
      <rPr>
        <b/>
        <sz val="11"/>
        <color theme="1"/>
        <rFont val="Calibri"/>
        <family val="2"/>
        <scheme val="minor"/>
      </rPr>
      <t>Apellido</t>
    </r>
    <r>
      <rPr>
        <sz val="11"/>
        <color theme="1"/>
        <rFont val="Calibri"/>
        <family val="2"/>
        <scheme val="minor"/>
      </rPr>
      <t xml:space="preserve"> contiene la letra "a" y "o" (al mismo tiempo). Copie y pegue los resultados en la hoja "(5)"</t>
    </r>
  </si>
  <si>
    <r>
      <t xml:space="preserve">Según la gráfica, digíte el porcentaje salarial correspondiente a </t>
    </r>
    <r>
      <rPr>
        <b/>
        <sz val="11"/>
        <color theme="1"/>
        <rFont val="Calibri"/>
        <family val="2"/>
        <scheme val="minor"/>
      </rPr>
      <t>Acevedo.</t>
    </r>
  </si>
  <si>
    <t>Filtre la tabla mostrando solamente a las personas cuyo Apellido contiene la letra "a" y "o" (al mismo tiempo). Copie y pegue los resultados en la hoja "(5)"</t>
  </si>
  <si>
    <t>Según la gráfica, digíte el porcentaje salarial correspondiente a Acevedo.</t>
  </si>
  <si>
    <r>
      <t xml:space="preserve">Filtre la tabla mostrando solamente a las personas con los </t>
    </r>
    <r>
      <rPr>
        <b/>
        <sz val="11"/>
        <color theme="1"/>
        <rFont val="Calibri"/>
        <family val="2"/>
        <scheme val="minor"/>
      </rPr>
      <t>11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salarios</t>
    </r>
    <r>
      <rPr>
        <sz val="11"/>
        <color theme="1"/>
        <rFont val="Calibri"/>
        <family val="2"/>
        <scheme val="minor"/>
      </rPr>
      <t xml:space="preserve"> mas altos. Copie y pegue los resultados en la hoja "(6)"</t>
    </r>
  </si>
  <si>
    <r>
      <t xml:space="preserve">Al gráfico dinámico, insértele una segmentación de datos que muestre solo los </t>
    </r>
    <r>
      <rPr>
        <b/>
        <sz val="11"/>
        <color theme="1"/>
        <rFont val="Calibri"/>
        <family val="2"/>
        <scheme val="minor"/>
      </rPr>
      <t>Administrativos</t>
    </r>
    <r>
      <rPr>
        <sz val="11"/>
        <color theme="1"/>
        <rFont val="Calibri"/>
        <family val="2"/>
        <scheme val="minor"/>
      </rPr>
      <t>.</t>
    </r>
  </si>
  <si>
    <r>
      <t xml:space="preserve">¿Cuál es el </t>
    </r>
    <r>
      <rPr>
        <b/>
        <sz val="11"/>
        <color theme="1"/>
        <rFont val="Calibri"/>
        <family val="2"/>
        <scheme val="minor"/>
      </rPr>
      <t>Total General</t>
    </r>
    <r>
      <rPr>
        <sz val="11"/>
        <color theme="1"/>
        <rFont val="Calibri"/>
        <family val="2"/>
        <scheme val="minor"/>
      </rPr>
      <t xml:space="preserve"> de los </t>
    </r>
    <r>
      <rPr>
        <b/>
        <sz val="11"/>
        <color theme="1"/>
        <rFont val="Calibri"/>
        <family val="2"/>
        <scheme val="minor"/>
      </rPr>
      <t xml:space="preserve">Salarios </t>
    </r>
    <r>
      <rPr>
        <sz val="11"/>
        <color theme="1"/>
        <rFont val="Calibri"/>
        <family val="2"/>
        <scheme val="minor"/>
      </rPr>
      <t>de los</t>
    </r>
    <r>
      <rPr>
        <b/>
        <sz val="11"/>
        <color theme="1"/>
        <rFont val="Calibri"/>
        <family val="2"/>
        <scheme val="minor"/>
      </rPr>
      <t xml:space="preserve"> Administrativos </t>
    </r>
    <r>
      <rPr>
        <sz val="11"/>
        <color theme="1"/>
        <rFont val="Calibri"/>
        <family val="2"/>
        <scheme val="minor"/>
      </rPr>
      <t>según la tabla dinámica?</t>
    </r>
  </si>
  <si>
    <r>
      <t xml:space="preserve">Utiliza la fórmula </t>
    </r>
    <r>
      <rPr>
        <b/>
        <sz val="11"/>
        <color theme="1"/>
        <rFont val="Calibri"/>
        <family val="2"/>
        <scheme val="minor"/>
      </rPr>
      <t xml:space="preserve">COINCIDIR </t>
    </r>
    <r>
      <rPr>
        <sz val="11"/>
        <color theme="1"/>
        <rFont val="Calibri"/>
        <family val="2"/>
        <scheme val="minor"/>
      </rPr>
      <t xml:space="preserve">para determinar en qué posición se encuentra el </t>
    </r>
    <r>
      <rPr>
        <b/>
        <sz val="11"/>
        <color theme="1"/>
        <rFont val="Calibri"/>
        <family val="2"/>
        <scheme val="minor"/>
      </rPr>
      <t>ID empleado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1359</t>
    </r>
    <r>
      <rPr>
        <sz val="11"/>
        <color theme="1"/>
        <rFont val="Calibri"/>
        <family val="2"/>
        <scheme val="minor"/>
      </rPr>
      <t xml:space="preserve">. </t>
    </r>
    <r>
      <rPr>
        <b/>
        <sz val="11"/>
        <color rgb="FFFF0000"/>
        <rFont val="Calibri"/>
        <family val="2"/>
        <scheme val="minor"/>
      </rPr>
      <t>La matriz de origen debe ser la tabla de datos en la hoja (7)</t>
    </r>
  </si>
  <si>
    <r>
      <rPr>
        <sz val="11"/>
        <rFont val="Calibri"/>
        <family val="2"/>
        <scheme val="minor"/>
      </rPr>
      <t>Usa la fórmula (</t>
    </r>
    <r>
      <rPr>
        <b/>
        <sz val="11"/>
        <rFont val="Calibri"/>
        <family val="2"/>
        <scheme val="minor"/>
      </rPr>
      <t>BUSCARV</t>
    </r>
    <r>
      <rPr>
        <sz val="11"/>
        <rFont val="Calibri"/>
        <family val="2"/>
        <scheme val="minor"/>
      </rPr>
      <t xml:space="preserve">) para traer el salario correspondiente al </t>
    </r>
    <r>
      <rPr>
        <b/>
        <sz val="11"/>
        <rFont val="Calibri"/>
        <family val="2"/>
        <scheme val="minor"/>
      </rPr>
      <t>ID empleado (1530)</t>
    </r>
    <r>
      <rPr>
        <sz val="11"/>
        <rFont val="Calibri"/>
        <family val="2"/>
        <scheme val="minor"/>
      </rPr>
      <t xml:space="preserve">. </t>
    </r>
    <r>
      <rPr>
        <b/>
        <sz val="11"/>
        <color rgb="FFFF0000"/>
        <rFont val="Calibri"/>
        <family val="2"/>
        <scheme val="minor"/>
      </rPr>
      <t xml:space="preserve">
La matriz de origen debe ser la tabla de datos en la hoja (7)</t>
    </r>
  </si>
  <si>
    <r>
      <t>Usa la fórmula (</t>
    </r>
    <r>
      <rPr>
        <b/>
        <sz val="11"/>
        <color theme="1"/>
        <rFont val="Calibri"/>
        <family val="2"/>
        <scheme val="minor"/>
      </rPr>
      <t>SI</t>
    </r>
    <r>
      <rPr>
        <sz val="11"/>
        <color theme="1"/>
        <rFont val="Calibri"/>
        <family val="2"/>
        <scheme val="minor"/>
      </rPr>
      <t>)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para que como resultado, aparezca "ES MAYOR" o "ES MENOR" si  el </t>
    </r>
    <r>
      <rPr>
        <b/>
        <sz val="11"/>
        <color theme="1"/>
        <rFont val="Calibri"/>
        <family val="2"/>
        <scheme val="minor"/>
      </rPr>
      <t>salario</t>
    </r>
    <r>
      <rPr>
        <sz val="11"/>
        <color theme="1"/>
        <rFont val="Calibri"/>
        <family val="2"/>
        <scheme val="minor"/>
      </rPr>
      <t xml:space="preserve"> del ID empleado </t>
    </r>
    <r>
      <rPr>
        <b/>
        <sz val="11"/>
        <color theme="1"/>
        <rFont val="Calibri"/>
        <family val="2"/>
        <scheme val="minor"/>
      </rPr>
      <t>1153</t>
    </r>
    <r>
      <rPr>
        <sz val="11"/>
        <color theme="1"/>
        <rFont val="Calibri"/>
        <family val="2"/>
        <scheme val="minor"/>
      </rPr>
      <t xml:space="preserve"> es mayor o menor que el salario de el ID empleado </t>
    </r>
    <r>
      <rPr>
        <b/>
        <sz val="11"/>
        <color theme="1"/>
        <rFont val="Calibri"/>
        <family val="2"/>
        <scheme val="minor"/>
      </rPr>
      <t>1908</t>
    </r>
    <r>
      <rPr>
        <sz val="11"/>
        <color theme="1"/>
        <rFont val="Calibri"/>
        <family val="2"/>
        <scheme val="minor"/>
      </rPr>
      <t>.</t>
    </r>
  </si>
  <si>
    <t>ES MENOR</t>
  </si>
  <si>
    <t>Indique cuántos empleados hay en total usando la fórmula CONTAR.</t>
  </si>
  <si>
    <t>Con la copia de los resultados, cree un gráfico de columna agrupada representando el Salario y el Nombre del empleado, ordénelo de mayor a menor en la columna Salario y agregue etiquetas de datos y línea de tendencia lineal.</t>
  </si>
  <si>
    <t>Use la fórmula SUMA e indique para indicar el total de días trabajados.</t>
  </si>
  <si>
    <t>Use la fórmula PROMEDIO e indique el promedio de los días trabajados.</t>
  </si>
  <si>
    <t>Filtre la tabla mostrando solamente a las personas con los 11 salarios mas altos. Copie y pegue los resultados en la hoja "(6)"</t>
  </si>
  <si>
    <t>¿Cuál es la Moda de los Días Trabaj.? (El resultado debe ser obtenido mediante la formula)</t>
  </si>
  <si>
    <t>Al gráfico dinámico, insértele una segmentación de datos que muestre solo los Administrativos.</t>
  </si>
  <si>
    <t>¿Cuál es el Total General de los Salarios de los Administrativos según la tabla dinámica?</t>
  </si>
  <si>
    <t>Dirígete a la hoja (7) y con la fórmula (BUSCARV) agrega el Salario correspondiente a cada ID empleado</t>
  </si>
  <si>
    <t>Utiliza la fórmula COINCIDIR para determinar en qué posición se encuentra el ID empleado 1359. La matriz de origen debe ser la tabla de datos en la hoja (7)</t>
  </si>
  <si>
    <t>Usa la fórmula (BUSCARV) para traer el salario correspondiente al ID empleado (1530). 
La matriz de origen debe ser la tabla de datos en la hoja (7)</t>
  </si>
  <si>
    <t>Usa la fórmula (SI) para que como resultado, aparezca "ES MAYOR" o "ES MENOR" si  el salario del ID empleado 1153 es mayor o menor que el salario de el ID empleado 1908.</t>
  </si>
  <si>
    <t>Universidad:</t>
  </si>
  <si>
    <t>KEVIN SIVEN ALBARRACIN GONZALEZ</t>
  </si>
  <si>
    <t>Externado</t>
  </si>
  <si>
    <t>Apellido</t>
  </si>
  <si>
    <t>Nombre</t>
  </si>
  <si>
    <t>Seccional</t>
  </si>
  <si>
    <t>Facultad</t>
  </si>
  <si>
    <t>Cargo</t>
  </si>
  <si>
    <t>Días Trabaj.</t>
  </si>
  <si>
    <t>Vergara</t>
  </si>
  <si>
    <t>Amalia</t>
  </si>
  <si>
    <t>Medellín</t>
  </si>
  <si>
    <t>Ingeniería</t>
  </si>
  <si>
    <t>Docente</t>
  </si>
  <si>
    <t>Ramírez</t>
  </si>
  <si>
    <t>Tomas</t>
  </si>
  <si>
    <t>Administración</t>
  </si>
  <si>
    <t>Técnico</t>
  </si>
  <si>
    <t>Cifuentes</t>
  </si>
  <si>
    <t>Oscar</t>
  </si>
  <si>
    <t>Jiménez</t>
  </si>
  <si>
    <t>Karina</t>
  </si>
  <si>
    <t>López</t>
  </si>
  <si>
    <t>Dinara</t>
  </si>
  <si>
    <t>Bogotá</t>
  </si>
  <si>
    <t>Administrativo</t>
  </si>
  <si>
    <t>Cano</t>
  </si>
  <si>
    <t>Carolina</t>
  </si>
  <si>
    <t>Vallejo</t>
  </si>
  <si>
    <t>Sara</t>
  </si>
  <si>
    <t>Diseño</t>
  </si>
  <si>
    <t>Sandra</t>
  </si>
  <si>
    <t>Publicidad</t>
  </si>
  <si>
    <t>Vásquez</t>
  </si>
  <si>
    <t>Leonardo</t>
  </si>
  <si>
    <t>Bucaramanga</t>
  </si>
  <si>
    <t>Gómez</t>
  </si>
  <si>
    <t>Mariana</t>
  </si>
  <si>
    <t>Ospina</t>
  </si>
  <si>
    <t>Daniel</t>
  </si>
  <si>
    <t>Arango</t>
  </si>
  <si>
    <t>Tatiana</t>
  </si>
  <si>
    <t>Zapata</t>
  </si>
  <si>
    <t>Stephanie</t>
  </si>
  <si>
    <t>Márquez</t>
  </si>
  <si>
    <t>Isabella</t>
  </si>
  <si>
    <t xml:space="preserve">Arango </t>
  </si>
  <si>
    <t>Monica</t>
  </si>
  <si>
    <t>Betancur</t>
  </si>
  <si>
    <t>Gonzalo</t>
  </si>
  <si>
    <t>Caro</t>
  </si>
  <si>
    <t>Diana</t>
  </si>
  <si>
    <t>Acevedo</t>
  </si>
  <si>
    <t>Melina</t>
  </si>
  <si>
    <t>Diez</t>
  </si>
  <si>
    <t>Patricia</t>
  </si>
  <si>
    <t>Guerra</t>
  </si>
  <si>
    <t>Lisa</t>
  </si>
  <si>
    <t>Granda</t>
  </si>
  <si>
    <t>Luisa</t>
  </si>
  <si>
    <t>N. Empleados</t>
  </si>
  <si>
    <t>Dias trabajados</t>
  </si>
  <si>
    <t>PROMEDIO</t>
  </si>
  <si>
    <t>46,300,000</t>
  </si>
  <si>
    <t>PUNTO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</si>
</sst>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_);_(@_)"/>
    <numFmt numFmtId="165" formatCode="_-[$$-240A]\ * #,##0_-;\-[$$-240A]\ * #,##0_-;_-[$$-240A]\ * &quot;-&quot;??_-;_-@_-"/>
    <numFmt numFmtId="166" formatCode="[$-F400]h:mm:ss\ AM/PM"/>
    <numFmt numFmtId="167" formatCode="0.00000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0"/>
      <name val="Arial Black"/>
      <family val="2"/>
    </font>
    <font>
      <sz val="9"/>
      <color indexed="81"/>
      <name val="Tahoma"/>
      <family val="2"/>
    </font>
    <font>
      <sz val="9"/>
      <color theme="0"/>
      <name val="Calibri"/>
      <family val="2"/>
      <scheme val="minor"/>
    </font>
    <font>
      <sz val="9"/>
      <color rgb="FF28458E"/>
      <name val="Arial Black"/>
      <family val="2"/>
    </font>
    <font>
      <sz val="11"/>
      <color rgb="FF28458E"/>
      <name val="Montserrat Black"/>
    </font>
    <font>
      <sz val="24"/>
      <color theme="0"/>
      <name val="Montserrat Black"/>
    </font>
    <font>
      <sz val="11"/>
      <color rgb="FF28458E"/>
      <name val="Montserrat"/>
    </font>
    <font>
      <b/>
      <sz val="11"/>
      <color rgb="FFFFFF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28458E"/>
      <name val="Calibri"/>
      <family val="2"/>
      <scheme val="minor"/>
    </font>
    <font>
      <sz val="20"/>
      <color theme="0"/>
      <name val="Montserrat Black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AAE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8458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28458E"/>
      </left>
      <right style="medium">
        <color rgb="FF28458E"/>
      </right>
      <top style="medium">
        <color rgb="FF28458E"/>
      </top>
      <bottom style="medium">
        <color rgb="FF28458E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2" fillId="0" borderId="0" applyFont="0" applyFill="0" applyBorder="0" applyAlignment="0" applyProtection="0"/>
  </cellStyleXfs>
  <cellXfs count="139">
    <xf numFmtId="0" fontId="0" fillId="0" borderId="0" xfId="0"/>
    <xf numFmtId="165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vertical="center" wrapText="1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3" borderId="13" xfId="0" applyFont="1" applyFill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4" borderId="13" xfId="1" applyNumberFormat="1" applyFont="1" applyFill="1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1" fontId="0" fillId="4" borderId="13" xfId="0" applyNumberFormat="1" applyFill="1" applyBorder="1" applyAlignment="1" applyProtection="1">
      <alignment horizontal="center" vertical="center"/>
      <protection hidden="1"/>
    </xf>
    <xf numFmtId="165" fontId="0" fillId="4" borderId="13" xfId="2" applyNumberFormat="1" applyFont="1" applyFill="1" applyBorder="1" applyAlignment="1" applyProtection="1">
      <alignment horizontal="center" vertical="center"/>
      <protection hidden="1"/>
    </xf>
    <xf numFmtId="0" fontId="0" fillId="4" borderId="13" xfId="2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hidden="1"/>
    </xf>
    <xf numFmtId="9" fontId="3" fillId="0" borderId="0" xfId="2" applyFont="1" applyAlignment="1" applyProtection="1">
      <alignment horizontal="center" vertical="center"/>
      <protection hidden="1"/>
    </xf>
    <xf numFmtId="22" fontId="0" fillId="0" borderId="0" xfId="0" applyNumberFormat="1"/>
    <xf numFmtId="9" fontId="4" fillId="0" borderId="0" xfId="2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2" applyNumberFormat="1" applyFon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167" fontId="0" fillId="4" borderId="13" xfId="0" applyNumberFormat="1" applyFill="1" applyBorder="1" applyAlignment="1" applyProtection="1">
      <alignment horizontal="center" vertical="center"/>
      <protection hidden="1"/>
    </xf>
    <xf numFmtId="9" fontId="0" fillId="4" borderId="13" xfId="2" applyFont="1" applyFill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165" fontId="0" fillId="0" borderId="7" xfId="2" applyNumberFormat="1" applyFont="1" applyFill="1" applyBorder="1" applyAlignment="1" applyProtection="1">
      <alignment horizontal="center" vertical="center"/>
      <protection hidden="1"/>
    </xf>
    <xf numFmtId="165" fontId="0" fillId="0" borderId="5" xfId="2" applyNumberFormat="1" applyFont="1" applyFill="1" applyBorder="1" applyAlignment="1" applyProtection="1">
      <alignment horizontal="center" vertical="center"/>
      <protection hidden="1"/>
    </xf>
    <xf numFmtId="0" fontId="4" fillId="5" borderId="0" xfId="2" applyNumberFormat="1" applyFont="1" applyFill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 wrapText="1"/>
      <protection hidden="1"/>
    </xf>
    <xf numFmtId="0" fontId="4" fillId="4" borderId="0" xfId="2" applyNumberFormat="1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9" fontId="4" fillId="0" borderId="0" xfId="2" applyFont="1" applyFill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4" xfId="0" applyFont="1" applyBorder="1" applyProtection="1">
      <protection hidden="1"/>
    </xf>
    <xf numFmtId="0" fontId="4" fillId="0" borderId="0" xfId="0" applyFont="1" applyProtection="1">
      <protection hidden="1"/>
    </xf>
    <xf numFmtId="22" fontId="0" fillId="0" borderId="0" xfId="0" applyNumberFormat="1" applyProtection="1">
      <protection hidden="1"/>
    </xf>
    <xf numFmtId="19" fontId="0" fillId="0" borderId="0" xfId="0" applyNumberFormat="1" applyProtection="1">
      <protection hidden="1"/>
    </xf>
    <xf numFmtId="0" fontId="3" fillId="0" borderId="0" xfId="0" applyFont="1" applyProtection="1">
      <protection locked="0"/>
    </xf>
    <xf numFmtId="0" fontId="8" fillId="0" borderId="0" xfId="0" applyFont="1" applyAlignment="1" applyProtection="1">
      <alignment horizontal="right" vertical="center"/>
      <protection hidden="1"/>
    </xf>
    <xf numFmtId="166" fontId="8" fillId="0" borderId="0" xfId="0" applyNumberFormat="1" applyFont="1" applyAlignment="1" applyProtection="1">
      <alignment horizontal="left" vertical="center"/>
      <protection locked="0"/>
    </xf>
    <xf numFmtId="9" fontId="10" fillId="0" borderId="0" xfId="2" applyFont="1" applyAlignment="1" applyProtection="1">
      <alignment horizontal="center" vertical="center"/>
      <protection hidden="1"/>
    </xf>
    <xf numFmtId="9" fontId="11" fillId="0" borderId="0" xfId="2" applyFont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9" fontId="4" fillId="0" borderId="0" xfId="2" applyFont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4" fillId="0" borderId="0" xfId="2" applyNumberFormat="1" applyFont="1" applyBorder="1" applyAlignment="1" applyProtection="1">
      <alignment horizontal="center" vertical="center"/>
      <protection hidden="1"/>
    </xf>
    <xf numFmtId="0" fontId="12" fillId="8" borderId="12" xfId="0" applyFont="1" applyFill="1" applyBorder="1" applyAlignment="1" applyProtection="1">
      <alignment horizontal="left" vertical="center"/>
      <protection hidden="1"/>
    </xf>
    <xf numFmtId="0" fontId="0" fillId="8" borderId="4" xfId="0" applyFill="1" applyBorder="1"/>
    <xf numFmtId="0" fontId="0" fillId="8" borderId="0" xfId="0" applyFill="1"/>
    <xf numFmtId="0" fontId="1" fillId="8" borderId="17" xfId="0" applyFont="1" applyFill="1" applyBorder="1" applyAlignment="1" applyProtection="1">
      <alignment horizontal="center" vertical="center"/>
      <protection locked="0"/>
    </xf>
    <xf numFmtId="0" fontId="0" fillId="8" borderId="18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4" borderId="27" xfId="1" applyNumberFormat="1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1" fontId="0" fillId="4" borderId="27" xfId="0" applyNumberFormat="1" applyFill="1" applyBorder="1" applyAlignment="1">
      <alignment horizontal="center" vertical="center"/>
    </xf>
    <xf numFmtId="9" fontId="0" fillId="4" borderId="27" xfId="2" applyFont="1" applyFill="1" applyBorder="1" applyAlignment="1">
      <alignment horizontal="center" vertical="center"/>
    </xf>
    <xf numFmtId="0" fontId="0" fillId="4" borderId="27" xfId="2" applyNumberFormat="1" applyFont="1" applyFill="1" applyBorder="1" applyAlignment="1">
      <alignment horizontal="center" vertical="center"/>
    </xf>
    <xf numFmtId="165" fontId="0" fillId="4" borderId="27" xfId="2" applyNumberFormat="1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17" fillId="9" borderId="32" xfId="0" applyFont="1" applyFill="1" applyBorder="1" applyAlignment="1">
      <alignment horizontal="center" vertical="center"/>
    </xf>
    <xf numFmtId="0" fontId="18" fillId="9" borderId="32" xfId="0" applyFont="1" applyFill="1" applyBorder="1" applyAlignment="1">
      <alignment horizontal="center"/>
    </xf>
    <xf numFmtId="0" fontId="16" fillId="9" borderId="31" xfId="0" applyFont="1" applyFill="1" applyBorder="1" applyAlignment="1">
      <alignment horizontal="center" vertical="center"/>
    </xf>
    <xf numFmtId="0" fontId="16" fillId="7" borderId="31" xfId="0" applyFont="1" applyFill="1" applyBorder="1" applyAlignment="1">
      <alignment horizontal="center" vertical="center"/>
    </xf>
    <xf numFmtId="0" fontId="21" fillId="8" borderId="14" xfId="0" applyFont="1" applyFill="1" applyBorder="1" applyAlignment="1" applyProtection="1">
      <alignment horizontal="center" vertical="center"/>
      <protection locked="0"/>
    </xf>
    <xf numFmtId="0" fontId="21" fillId="8" borderId="15" xfId="0" applyFont="1" applyFill="1" applyBorder="1" applyProtection="1">
      <protection locked="0"/>
    </xf>
    <xf numFmtId="0" fontId="21" fillId="8" borderId="16" xfId="0" applyFont="1" applyFill="1" applyBorder="1" applyAlignment="1" applyProtection="1">
      <alignment horizontal="center"/>
      <protection locked="0"/>
    </xf>
    <xf numFmtId="0" fontId="21" fillId="8" borderId="17" xfId="0" applyFont="1" applyFill="1" applyBorder="1" applyAlignment="1">
      <alignment horizontal="center" vertical="center"/>
    </xf>
    <xf numFmtId="0" fontId="21" fillId="8" borderId="0" xfId="0" applyFont="1" applyFill="1" applyProtection="1">
      <protection locked="0"/>
    </xf>
    <xf numFmtId="0" fontId="21" fillId="8" borderId="0" xfId="0" applyFont="1" applyFill="1" applyAlignment="1" applyProtection="1">
      <alignment horizontal="left" vertical="center"/>
      <protection locked="0"/>
    </xf>
    <xf numFmtId="0" fontId="21" fillId="8" borderId="18" xfId="0" applyFont="1" applyFill="1" applyBorder="1" applyAlignment="1" applyProtection="1">
      <alignment horizontal="center" vertical="center"/>
      <protection locked="0"/>
    </xf>
    <xf numFmtId="0" fontId="21" fillId="8" borderId="19" xfId="0" applyFont="1" applyFill="1" applyBorder="1" applyAlignment="1" applyProtection="1">
      <alignment horizontal="left" vertical="center"/>
      <protection locked="0"/>
    </xf>
    <xf numFmtId="0" fontId="21" fillId="8" borderId="20" xfId="0" applyFont="1" applyFill="1" applyBorder="1" applyProtection="1">
      <protection locked="0"/>
    </xf>
    <xf numFmtId="0" fontId="21" fillId="8" borderId="20" xfId="0" applyFont="1" applyFill="1" applyBorder="1" applyAlignment="1" applyProtection="1">
      <alignment horizontal="left" vertical="center"/>
      <protection locked="0"/>
    </xf>
    <xf numFmtId="0" fontId="21" fillId="8" borderId="21" xfId="0" applyFont="1" applyFill="1" applyBorder="1" applyAlignment="1" applyProtection="1">
      <alignment horizontal="center" vertical="center"/>
      <protection locked="0"/>
    </xf>
    <xf numFmtId="18" fontId="14" fillId="6" borderId="12" xfId="0" applyNumberFormat="1" applyFont="1" applyFill="1" applyBorder="1" applyAlignment="1" applyProtection="1">
      <alignment horizontal="center" vertical="center"/>
      <protection hidden="1"/>
    </xf>
    <xf numFmtId="21" fontId="8" fillId="0" borderId="0" xfId="0" applyNumberFormat="1" applyFont="1" applyAlignment="1" applyProtection="1">
      <alignment horizontal="left" vertical="center"/>
      <protection hidden="1"/>
    </xf>
    <xf numFmtId="45" fontId="14" fillId="6" borderId="12" xfId="0" applyNumberFormat="1" applyFont="1" applyFill="1" applyBorder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left" vertical="center" wrapText="1"/>
      <protection hidden="1"/>
    </xf>
    <xf numFmtId="0" fontId="14" fillId="2" borderId="12" xfId="0" applyFont="1" applyFill="1" applyBorder="1" applyAlignment="1" applyProtection="1">
      <alignment horizontal="center" vertical="center"/>
      <protection locked="0"/>
    </xf>
    <xf numFmtId="2" fontId="14" fillId="6" borderId="12" xfId="0" applyNumberFormat="1" applyFont="1" applyFill="1" applyBorder="1" applyAlignment="1" applyProtection="1">
      <alignment horizontal="center" vertical="center"/>
      <protection hidden="1"/>
    </xf>
    <xf numFmtId="49" fontId="14" fillId="2" borderId="12" xfId="0" applyNumberFormat="1" applyFont="1" applyFill="1" applyBorder="1" applyAlignment="1" applyProtection="1">
      <alignment horizontal="center" vertical="center"/>
      <protection locked="0"/>
    </xf>
    <xf numFmtId="0" fontId="17" fillId="9" borderId="22" xfId="0" applyFont="1" applyFill="1" applyBorder="1" applyAlignment="1">
      <alignment horizontal="center" vertical="center" wrapText="1"/>
    </xf>
    <xf numFmtId="0" fontId="17" fillId="9" borderId="23" xfId="0" applyFont="1" applyFill="1" applyBorder="1" applyAlignment="1">
      <alignment horizontal="center" vertical="center" wrapText="1"/>
    </xf>
    <xf numFmtId="0" fontId="17" fillId="9" borderId="24" xfId="0" applyFont="1" applyFill="1" applyBorder="1" applyAlignment="1">
      <alignment horizontal="center" vertical="center" wrapText="1"/>
    </xf>
    <xf numFmtId="0" fontId="22" fillId="9" borderId="22" xfId="0" applyFont="1" applyFill="1" applyBorder="1" applyAlignment="1" applyProtection="1">
      <alignment horizontal="center" vertical="center"/>
      <protection locked="0"/>
    </xf>
    <xf numFmtId="0" fontId="22" fillId="9" borderId="23" xfId="0" applyFont="1" applyFill="1" applyBorder="1" applyAlignment="1" applyProtection="1">
      <alignment horizontal="center" vertical="center"/>
      <protection locked="0"/>
    </xf>
    <xf numFmtId="0" fontId="22" fillId="9" borderId="24" xfId="0" applyFont="1" applyFill="1" applyBorder="1" applyAlignment="1" applyProtection="1">
      <alignment horizontal="center" vertical="center"/>
      <protection locked="0"/>
    </xf>
    <xf numFmtId="0" fontId="0" fillId="8" borderId="0" xfId="0" applyFill="1" applyAlignment="1">
      <alignment horizontal="left" vertical="center" wrapText="1"/>
    </xf>
    <xf numFmtId="0" fontId="4" fillId="8" borderId="0" xfId="0" applyFont="1" applyFill="1" applyAlignment="1" applyProtection="1">
      <alignment horizontal="left" vertical="center" wrapText="1"/>
      <protection hidden="1"/>
    </xf>
    <xf numFmtId="0" fontId="0" fillId="8" borderId="9" xfId="0" applyFill="1" applyBorder="1" applyAlignment="1">
      <alignment horizontal="left" vertical="center" wrapText="1"/>
    </xf>
    <xf numFmtId="0" fontId="0" fillId="8" borderId="9" xfId="0" applyFill="1" applyBorder="1" applyAlignment="1">
      <alignment horizontal="left" wrapText="1"/>
    </xf>
    <xf numFmtId="0" fontId="0" fillId="8" borderId="20" xfId="0" applyFill="1" applyBorder="1" applyAlignment="1">
      <alignment horizontal="left" vertical="center" wrapText="1"/>
    </xf>
    <xf numFmtId="0" fontId="6" fillId="8" borderId="0" xfId="0" applyFont="1" applyFill="1" applyAlignment="1">
      <alignment horizontal="left" vertical="center" wrapText="1"/>
    </xf>
    <xf numFmtId="0" fontId="4" fillId="0" borderId="0" xfId="3" applyFont="1" applyBorder="1" applyAlignment="1" applyProtection="1">
      <alignment horizontal="left" vertical="center" wrapText="1"/>
      <protection hidden="1"/>
    </xf>
    <xf numFmtId="0" fontId="4" fillId="0" borderId="9" xfId="0" applyFont="1" applyBorder="1" applyAlignment="1" applyProtection="1">
      <alignment horizontal="left" vertical="center" wrapText="1"/>
      <protection hidden="1"/>
    </xf>
    <xf numFmtId="0" fontId="4" fillId="0" borderId="9" xfId="3" applyFont="1" applyBorder="1" applyAlignment="1" applyProtection="1">
      <alignment horizontal="left" wrapText="1"/>
      <protection hidden="1"/>
    </xf>
    <xf numFmtId="0" fontId="4" fillId="0" borderId="0" xfId="3" applyFont="1" applyFill="1" applyBorder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left" vertical="center" wrapText="1"/>
      <protection hidden="1"/>
    </xf>
    <xf numFmtId="0" fontId="0" fillId="0" borderId="9" xfId="0" applyBorder="1" applyAlignment="1" applyProtection="1">
      <alignment horizontal="left" vertical="center" wrapText="1"/>
      <protection hidden="1"/>
    </xf>
    <xf numFmtId="0" fontId="6" fillId="0" borderId="0" xfId="0" applyFont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4" borderId="0" xfId="0" applyFill="1"/>
    <xf numFmtId="0" fontId="0" fillId="0" borderId="11" xfId="0" applyBorder="1"/>
    <xf numFmtId="0" fontId="21" fillId="0" borderId="37" xfId="0" applyFont="1" applyFill="1" applyBorder="1" applyAlignment="1" applyProtection="1">
      <alignment horizontal="left" vertical="center"/>
      <protection locked="0"/>
    </xf>
    <xf numFmtId="0" fontId="0" fillId="0" borderId="38" xfId="0" applyBorder="1"/>
    <xf numFmtId="0" fontId="21" fillId="0" borderId="36" xfId="0" applyFont="1" applyFill="1" applyBorder="1" applyAlignment="1" applyProtection="1">
      <alignment horizontal="left" vertical="center"/>
      <protection locked="0"/>
    </xf>
    <xf numFmtId="0" fontId="0" fillId="0" borderId="39" xfId="0" applyBorder="1"/>
    <xf numFmtId="0" fontId="0" fillId="0" borderId="35" xfId="0" applyBorder="1"/>
    <xf numFmtId="0" fontId="21" fillId="0" borderId="34" xfId="0" applyFont="1" applyFill="1" applyBorder="1" applyAlignment="1" applyProtection="1">
      <alignment horizontal="left" vertical="center"/>
      <protection locked="0"/>
    </xf>
    <xf numFmtId="0" fontId="0" fillId="0" borderId="40" xfId="0" applyBorder="1"/>
    <xf numFmtId="0" fontId="0" fillId="0" borderId="33" xfId="0" applyBorder="1"/>
    <xf numFmtId="0" fontId="21" fillId="10" borderId="11" xfId="0" applyFont="1" applyFill="1" applyBorder="1" applyAlignment="1">
      <alignment horizontal="left" vertical="center"/>
    </xf>
    <xf numFmtId="0" fontId="3" fillId="10" borderId="11" xfId="0" applyFont="1" applyFill="1" applyBorder="1"/>
    <xf numFmtId="0" fontId="21" fillId="11" borderId="11" xfId="0" applyFont="1" applyFill="1" applyBorder="1" applyAlignment="1">
      <alignment horizontal="left" vertical="center"/>
    </xf>
    <xf numFmtId="0" fontId="0" fillId="11" borderId="11" xfId="0" applyFill="1" applyBorder="1"/>
    <xf numFmtId="0" fontId="21" fillId="12" borderId="11" xfId="0" applyFont="1" applyFill="1" applyBorder="1" applyAlignment="1">
      <alignment horizontal="left" vertical="center"/>
    </xf>
    <xf numFmtId="0" fontId="0" fillId="12" borderId="11" xfId="0" applyFill="1" applyBorder="1"/>
    <xf numFmtId="44" fontId="0" fillId="0" borderId="0" xfId="4" applyFont="1"/>
  </cellXfs>
  <cellStyles count="5">
    <cellStyle name="Hipervínculo" xfId="3" builtinId="8"/>
    <cellStyle name="Moneda" xfId="4" builtinId="4"/>
    <cellStyle name="Moneda [0]" xfId="1" builtinId="7"/>
    <cellStyle name="Normal" xfId="0" builtinId="0"/>
    <cellStyle name="Porcentaje" xfId="2" builtinId="5"/>
  </cellStyles>
  <dxfs count="18">
    <dxf>
      <numFmt numFmtId="165" formatCode="_-[$$-240A]\ * #,##0_-;\-[$$-240A]\ * #,##0_-;_-[$$-240A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458E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fill>
        <patternFill patternType="solid">
          <fgColor indexed="64"/>
          <bgColor rgb="FF28458E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458E"/>
      <color rgb="FF00AAE2"/>
      <color rgb="FF0060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'3'!#REF!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17B-417A-B803-CF8BA398B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4757048"/>
        <c:axId val="624762296"/>
      </c:barChart>
      <c:catAx>
        <c:axId val="624757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4762296"/>
        <c:crosses val="autoZero"/>
        <c:auto val="1"/>
        <c:lblAlgn val="ctr"/>
        <c:lblOffset val="100"/>
        <c:noMultiLvlLbl val="0"/>
      </c:catAx>
      <c:valAx>
        <c:axId val="62476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475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'3'!$I$3</c:f>
              <c:strCache>
                <c:ptCount val="1"/>
                <c:pt idx="0">
                  <c:v>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'3'!$E$4:$H$12</c15:sqref>
                  </c15:fullRef>
                  <c15:levelRef>
                    <c15:sqref>'3'!$E$4:$E$12</c15:sqref>
                  </c15:levelRef>
                </c:ext>
              </c:extLst>
              <c:f>'3'!$E$4:$E$12</c:f>
              <c:strCache>
                <c:ptCount val="9"/>
                <c:pt idx="0">
                  <c:v>Diana</c:v>
                </c:pt>
                <c:pt idx="1">
                  <c:v>Luisa</c:v>
                </c:pt>
                <c:pt idx="2">
                  <c:v>Amalia</c:v>
                </c:pt>
                <c:pt idx="3">
                  <c:v>Melina</c:v>
                </c:pt>
                <c:pt idx="4">
                  <c:v>Sara</c:v>
                </c:pt>
                <c:pt idx="5">
                  <c:v>Lisa</c:v>
                </c:pt>
                <c:pt idx="6">
                  <c:v>Karina</c:v>
                </c:pt>
                <c:pt idx="7">
                  <c:v>Tomas</c:v>
                </c:pt>
                <c:pt idx="8">
                  <c:v>Oscar</c:v>
                </c:pt>
              </c:strCache>
            </c:strRef>
          </c:cat>
          <c:val>
            <c:numRef>
              <c:f>'3'!$I$4:$I$12</c:f>
              <c:numCache>
                <c:formatCode>General</c:formatCode>
                <c:ptCount val="9"/>
                <c:pt idx="0">
                  <c:v>5600000</c:v>
                </c:pt>
                <c:pt idx="1">
                  <c:v>4900000</c:v>
                </c:pt>
                <c:pt idx="2">
                  <c:v>3200000</c:v>
                </c:pt>
                <c:pt idx="3">
                  <c:v>2600000</c:v>
                </c:pt>
                <c:pt idx="4">
                  <c:v>2300000</c:v>
                </c:pt>
                <c:pt idx="5">
                  <c:v>2300000</c:v>
                </c:pt>
                <c:pt idx="6">
                  <c:v>1700000</c:v>
                </c:pt>
                <c:pt idx="7">
                  <c:v>1350000</c:v>
                </c:pt>
                <c:pt idx="8">
                  <c:v>1350000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8-4E1D-83DB-CC7C86B1A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28475648"/>
        <c:axId val="1070895792"/>
      </c:barChart>
      <c:catAx>
        <c:axId val="142847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Nombre</a:t>
                </a:r>
              </a:p>
            </c:rich>
          </c:tx>
          <c:layout>
            <c:manualLayout>
              <c:xMode val="edge"/>
              <c:yMode val="edge"/>
              <c:x val="0.48922090988626421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0895792"/>
        <c:crosses val="autoZero"/>
        <c:auto val="1"/>
        <c:lblAlgn val="ctr"/>
        <c:lblOffset val="100"/>
        <c:noMultiLvlLbl val="0"/>
      </c:catAx>
      <c:valAx>
        <c:axId val="107089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Salario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84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F7C-4894-9F79-7ED673537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775088"/>
        <c:axId val="624771152"/>
      </c:lineChart>
      <c:catAx>
        <c:axId val="62477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Empleado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4771152"/>
        <c:crosses val="autoZero"/>
        <c:auto val="1"/>
        <c:lblAlgn val="ctr"/>
        <c:lblOffset val="100"/>
        <c:noMultiLvlLbl val="0"/>
      </c:catAx>
      <c:valAx>
        <c:axId val="6247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Días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477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EDD-40B4-AAE0-4F937991E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253744"/>
        <c:axId val="410529168"/>
      </c:lineChart>
      <c:catAx>
        <c:axId val="40525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EMPLEADO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0529168"/>
        <c:crosses val="autoZero"/>
        <c:auto val="1"/>
        <c:lblAlgn val="ctr"/>
        <c:lblOffset val="100"/>
        <c:noMultiLvlLbl val="0"/>
      </c:catAx>
      <c:valAx>
        <c:axId val="41052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DÍAS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0525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4E4-4BFE-8BE5-1B410B6C7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202816"/>
        <c:axId val="575198552"/>
      </c:lineChart>
      <c:catAx>
        <c:axId val="575202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Empleado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5198552"/>
        <c:crosses val="autoZero"/>
        <c:auto val="1"/>
        <c:lblAlgn val="ctr"/>
        <c:lblOffset val="100"/>
        <c:noMultiLvlLbl val="0"/>
      </c:catAx>
      <c:valAx>
        <c:axId val="57519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Días</a:t>
                </a:r>
                <a:r>
                  <a:rPr lang="en-US" baseline="0"/>
                  <a:t> Trabajados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520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DD1-4955-865F-3AC65D1B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061168"/>
        <c:axId val="672059856"/>
      </c:lineChart>
      <c:catAx>
        <c:axId val="67206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2059856"/>
        <c:crosses val="autoZero"/>
        <c:auto val="1"/>
        <c:lblAlgn val="ctr"/>
        <c:lblOffset val="100"/>
        <c:noMultiLvlLbl val="0"/>
      </c:catAx>
      <c:valAx>
        <c:axId val="67205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206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1"/>
          <c:tx>
            <c:strRef>
              <c:f>'4'!$J$3</c:f>
              <c:strCache>
                <c:ptCount val="1"/>
                <c:pt idx="0">
                  <c:v>Días Trabaj.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'4'!$E$4:$E$7</c:f>
              <c:strCache>
                <c:ptCount val="4"/>
                <c:pt idx="0">
                  <c:v>Patricia</c:v>
                </c:pt>
                <c:pt idx="1">
                  <c:v>Isabella</c:v>
                </c:pt>
                <c:pt idx="2">
                  <c:v>Diana</c:v>
                </c:pt>
                <c:pt idx="3">
                  <c:v>Sandra</c:v>
                </c:pt>
              </c:strCache>
            </c:strRef>
          </c:cat>
          <c:val>
            <c:numRef>
              <c:f>'4'!$J$4:$J$7</c:f>
              <c:numCache>
                <c:formatCode>General</c:formatCode>
                <c:ptCount val="4"/>
                <c:pt idx="0">
                  <c:v>28</c:v>
                </c:pt>
                <c:pt idx="1">
                  <c:v>23</c:v>
                </c:pt>
                <c:pt idx="2">
                  <c:v>22</c:v>
                </c:pt>
                <c:pt idx="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9-49E8-AE4F-B1C737B958B4}"/>
            </c:ext>
          </c:extLst>
        </c:ser>
        <c:ser>
          <c:idx val="2"/>
          <c:order val="2"/>
          <c:tx>
            <c:v>Nombre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'4'!$E$4:$E$7</c:f>
              <c:strCache>
                <c:ptCount val="4"/>
                <c:pt idx="0">
                  <c:v>Patricia</c:v>
                </c:pt>
                <c:pt idx="1">
                  <c:v>Isabella</c:v>
                </c:pt>
                <c:pt idx="2">
                  <c:v>Diana</c:v>
                </c:pt>
                <c:pt idx="3">
                  <c:v>Sandra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CC9-49E8-AE4F-B1C737B95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317760"/>
        <c:axId val="10707805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'4'!$I$3</c15:sqref>
                        </c15:formulaRef>
                      </c:ext>
                    </c:extLst>
                    <c:strCache>
                      <c:ptCount val="1"/>
                      <c:pt idx="0">
                        <c:v>Salario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'4'!$E$4:$E$7</c15:sqref>
                        </c15:formulaRef>
                      </c:ext>
                    </c:extLst>
                    <c:strCache>
                      <c:ptCount val="4"/>
                      <c:pt idx="0">
                        <c:v>Patricia</c:v>
                      </c:pt>
                      <c:pt idx="1">
                        <c:v>Isabella</c:v>
                      </c:pt>
                      <c:pt idx="2">
                        <c:v>Diana</c:v>
                      </c:pt>
                      <c:pt idx="3">
                        <c:v>Sandra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'4'!$I$4:$I$7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5600000</c:v>
                      </c:pt>
                      <c:pt idx="1">
                        <c:v>5600000</c:v>
                      </c:pt>
                      <c:pt idx="2">
                        <c:v>5600000</c:v>
                      </c:pt>
                      <c:pt idx="3">
                        <c:v>4200000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CC9-49E8-AE4F-B1C737B958B4}"/>
                  </c:ext>
                </c:extLst>
              </c15:ser>
            </c15:filteredLineSeries>
          </c:ext>
        </c:extLst>
      </c:lineChart>
      <c:catAx>
        <c:axId val="134731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Nombre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0780592"/>
        <c:crosses val="autoZero"/>
        <c:auto val="1"/>
        <c:lblAlgn val="ctr"/>
        <c:lblOffset val="100"/>
        <c:noMultiLvlLbl val="0"/>
      </c:catAx>
      <c:valAx>
        <c:axId val="107078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Dias</a:t>
                </a:r>
                <a:r>
                  <a:rPr lang="es-CO" baseline="0"/>
                  <a:t> trabajados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73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%</a:t>
            </a:r>
            <a:r>
              <a:rPr lang="en-US" baseline="0"/>
              <a:t> Salario por empleado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191-4AC1-9ED6-5ED2FBC143FD}"/>
              </c:ext>
            </c:extLst>
          </c:dPt>
          <c:val>
            <c:numRef>
              <c:f>'5'!#REF!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'5'!#REF!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'5'!#REF!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9DB-4EF9-8086-2C4795B46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E33-4C81-B165-DFA9F7882ABD}"/>
              </c:ext>
            </c:extLst>
          </c:dPt>
          <c:val>
            <c:numRef>
              <c:f>'5'!#REF!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'5'!#REF!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'5'!#REF!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BDC-443B-A18D-A8317D916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'5'!$I$3</c:f>
              <c:strCache>
                <c:ptCount val="1"/>
                <c:pt idx="0">
                  <c:v>Salario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'5'!$D$4:$D$17</c:f>
              <c:strCache>
                <c:ptCount val="14"/>
                <c:pt idx="0">
                  <c:v>Caro</c:v>
                </c:pt>
                <c:pt idx="1">
                  <c:v>Granda</c:v>
                </c:pt>
                <c:pt idx="2">
                  <c:v>Cano</c:v>
                </c:pt>
                <c:pt idx="3">
                  <c:v>Vergara</c:v>
                </c:pt>
                <c:pt idx="4">
                  <c:v>Cano</c:v>
                </c:pt>
                <c:pt idx="5">
                  <c:v>Acevedo</c:v>
                </c:pt>
                <c:pt idx="6">
                  <c:v>Arango</c:v>
                </c:pt>
                <c:pt idx="7">
                  <c:v>Vallejo</c:v>
                </c:pt>
                <c:pt idx="8">
                  <c:v>Guerra</c:v>
                </c:pt>
                <c:pt idx="9">
                  <c:v>Arango </c:v>
                </c:pt>
                <c:pt idx="10">
                  <c:v>Ospina</c:v>
                </c:pt>
                <c:pt idx="11">
                  <c:v>Ramírez</c:v>
                </c:pt>
                <c:pt idx="12">
                  <c:v>Zapata</c:v>
                </c:pt>
                <c:pt idx="13">
                  <c:v>Betancur</c:v>
                </c:pt>
              </c:strCache>
            </c:strRef>
          </c:cat>
          <c:val>
            <c:numRef>
              <c:f>'5'!$I$4:$I$17</c:f>
              <c:numCache>
                <c:formatCode>General</c:formatCode>
                <c:ptCount val="14"/>
                <c:pt idx="0">
                  <c:v>5600000</c:v>
                </c:pt>
                <c:pt idx="1">
                  <c:v>4900000</c:v>
                </c:pt>
                <c:pt idx="2">
                  <c:v>4200000</c:v>
                </c:pt>
                <c:pt idx="3">
                  <c:v>3200000</c:v>
                </c:pt>
                <c:pt idx="4">
                  <c:v>3200000</c:v>
                </c:pt>
                <c:pt idx="5">
                  <c:v>2600000</c:v>
                </c:pt>
                <c:pt idx="6">
                  <c:v>2500000</c:v>
                </c:pt>
                <c:pt idx="7">
                  <c:v>2300000</c:v>
                </c:pt>
                <c:pt idx="8">
                  <c:v>2300000</c:v>
                </c:pt>
                <c:pt idx="9">
                  <c:v>2000000</c:v>
                </c:pt>
                <c:pt idx="10">
                  <c:v>1460000</c:v>
                </c:pt>
                <c:pt idx="11">
                  <c:v>1350000</c:v>
                </c:pt>
                <c:pt idx="12">
                  <c:v>1350000</c:v>
                </c:pt>
                <c:pt idx="13">
                  <c:v>1350000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D-46A1-A80D-13E2081E59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v>Apellido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Pt>
                  <c:idx val="13"/>
                  <c:bubble3D val="0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bestFi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'5'!$D$4:$D$17</c15:sqref>
                        </c15:formulaRef>
                      </c:ext>
                    </c:extLst>
                    <c:strCache>
                      <c:ptCount val="14"/>
                      <c:pt idx="0">
                        <c:v>Caro</c:v>
                      </c:pt>
                      <c:pt idx="1">
                        <c:v>Granda</c:v>
                      </c:pt>
                      <c:pt idx="2">
                        <c:v>Cano</c:v>
                      </c:pt>
                      <c:pt idx="3">
                        <c:v>Vergara</c:v>
                      </c:pt>
                      <c:pt idx="4">
                        <c:v>Cano</c:v>
                      </c:pt>
                      <c:pt idx="5">
                        <c:v>Acevedo</c:v>
                      </c:pt>
                      <c:pt idx="6">
                        <c:v>Arango</c:v>
                      </c:pt>
                      <c:pt idx="7">
                        <c:v>Vallejo</c:v>
                      </c:pt>
                      <c:pt idx="8">
                        <c:v>Guerra</c:v>
                      </c:pt>
                      <c:pt idx="9">
                        <c:v>Arango </c:v>
                      </c:pt>
                      <c:pt idx="10">
                        <c:v>Ospina</c:v>
                      </c:pt>
                      <c:pt idx="11">
                        <c:v>Ramírez</c:v>
                      </c:pt>
                      <c:pt idx="12">
                        <c:v>Zapata</c:v>
                      </c:pt>
                      <c:pt idx="13">
                        <c:v>Betancur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'5'!$D$4:$D$17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D5D-46A1-A80D-13E2081E595C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Salario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'6'!$E$4:$E$14</c:f>
              <c:strCache>
                <c:ptCount val="6"/>
                <c:pt idx="0">
                  <c:v>Dinara</c:v>
                </c:pt>
                <c:pt idx="1">
                  <c:v>Isabella</c:v>
                </c:pt>
                <c:pt idx="2">
                  <c:v>Diana</c:v>
                </c:pt>
                <c:pt idx="3">
                  <c:v>Patricia</c:v>
                </c:pt>
                <c:pt idx="4">
                  <c:v>Sandra</c:v>
                </c:pt>
                <c:pt idx="5">
                  <c:v>Melina</c:v>
                </c:pt>
              </c:strCache>
            </c:strRef>
          </c:cat>
          <c:val>
            <c:numRef>
              <c:f>'6'!$I$4:$I$14</c:f>
              <c:numCache>
                <c:formatCode>General</c:formatCode>
                <c:ptCount val="6"/>
                <c:pt idx="0">
                  <c:v>5600000</c:v>
                </c:pt>
                <c:pt idx="1">
                  <c:v>5600000</c:v>
                </c:pt>
                <c:pt idx="2">
                  <c:v>5600000</c:v>
                </c:pt>
                <c:pt idx="3">
                  <c:v>5600000</c:v>
                </c:pt>
                <c:pt idx="4">
                  <c:v>4200000</c:v>
                </c:pt>
                <c:pt idx="5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000-4EF7-9D3B-51A57DDD4481}"/>
            </c:ext>
          </c:extLst>
        </c:ser>
        <c:ser>
          <c:idx val="1"/>
          <c:order val="1"/>
          <c:tx>
            <c:v>Nombre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'6'!$E$4:$E$14</c:f>
              <c:strCache>
                <c:ptCount val="6"/>
                <c:pt idx="0">
                  <c:v>Dinara</c:v>
                </c:pt>
                <c:pt idx="1">
                  <c:v>Isabella</c:v>
                </c:pt>
                <c:pt idx="2">
                  <c:v>Diana</c:v>
                </c:pt>
                <c:pt idx="3">
                  <c:v>Patricia</c:v>
                </c:pt>
                <c:pt idx="4">
                  <c:v>Sandra</c:v>
                </c:pt>
                <c:pt idx="5">
                  <c:v>Melina</c:v>
                </c:pt>
              </c:strCache>
            </c:strRef>
          </c:cat>
          <c:val>
            <c:numRef>
              <c:f>'6'!$E$4:$E$14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000-4EF7-9D3B-51A57DDD4481}"/>
            </c:ext>
          </c:extLst>
        </c:ser>
        <c:ser>
          <c:idx val="2"/>
          <c:order val="2"/>
          <c:tx>
            <c:v>Administrativos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'6'!$E$4:$E$14</c:f>
              <c:strCache>
                <c:ptCount val="6"/>
                <c:pt idx="0">
                  <c:v>Dinara</c:v>
                </c:pt>
                <c:pt idx="1">
                  <c:v>Isabella</c:v>
                </c:pt>
                <c:pt idx="2">
                  <c:v>Diana</c:v>
                </c:pt>
                <c:pt idx="3">
                  <c:v>Patricia</c:v>
                </c:pt>
                <c:pt idx="4">
                  <c:v>Sandra</c:v>
                </c:pt>
                <c:pt idx="5">
                  <c:v>Melina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D000-4EF7-9D3B-51A57DDD4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28553600"/>
        <c:axId val="1070850672"/>
        <c:axId val="0"/>
      </c:bar3DChart>
      <c:catAx>
        <c:axId val="142855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0850672"/>
        <c:crosses val="autoZero"/>
        <c:auto val="1"/>
        <c:lblAlgn val="ctr"/>
        <c:lblOffset val="100"/>
        <c:noMultiLvlLbl val="0"/>
      </c:catAx>
      <c:valAx>
        <c:axId val="10708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855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21" Type="http://schemas.openxmlformats.org/officeDocument/2006/relationships/image" Target="../media/image10.emf"/><Relationship Id="rId34" Type="http://schemas.openxmlformats.org/officeDocument/2006/relationships/image" Target="../media/image38.png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33" Type="http://schemas.openxmlformats.org/officeDocument/2006/relationships/image" Target="../media/image37.png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33.png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24" Type="http://schemas.openxmlformats.org/officeDocument/2006/relationships/image" Target="../media/image7.emf"/><Relationship Id="rId32" Type="http://schemas.openxmlformats.org/officeDocument/2006/relationships/image" Target="../media/image36.png"/><Relationship Id="rId37" Type="http://schemas.openxmlformats.org/officeDocument/2006/relationships/image" Target="../media/image41.png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2.png"/><Relationship Id="rId36" Type="http://schemas.openxmlformats.org/officeDocument/2006/relationships/image" Target="../media/image40.png"/><Relationship Id="rId10" Type="http://schemas.openxmlformats.org/officeDocument/2006/relationships/image" Target="../media/image21.emf"/><Relationship Id="rId19" Type="http://schemas.openxmlformats.org/officeDocument/2006/relationships/image" Target="../media/image12.emf"/><Relationship Id="rId31" Type="http://schemas.openxmlformats.org/officeDocument/2006/relationships/image" Target="../media/image35.png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35" Type="http://schemas.openxmlformats.org/officeDocument/2006/relationships/image" Target="../media/image39.png"/><Relationship Id="rId8" Type="http://schemas.openxmlformats.org/officeDocument/2006/relationships/image" Target="../media/image23.emf"/><Relationship Id="rId3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387349</xdr:colOff>
      <xdr:row>7</xdr:row>
      <xdr:rowOff>101599</xdr:rowOff>
    </xdr:from>
    <xdr:to>
      <xdr:col>9</xdr:col>
      <xdr:colOff>2114550</xdr:colOff>
      <xdr:row>11</xdr:row>
      <xdr:rowOff>58056</xdr:rowOff>
    </xdr:to>
    <xdr:sp macro="[0]!Inicia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29749" y="1530349"/>
          <a:ext cx="1727201" cy="1429657"/>
        </a:xfrm>
        <a:prstGeom prst="roundRect">
          <a:avLst/>
        </a:prstGeom>
        <a:solidFill>
          <a:srgbClr val="28458E"/>
        </a:solidFill>
        <a:ln w="38100">
          <a:solidFill>
            <a:schemeClr val="bg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bg1"/>
              </a:solidFill>
              <a:latin typeface="Montserrat Black" panose="00000A00000000000000" pitchFamily="2" charset="0"/>
              <a:cs typeface="Arabic Typesetting" panose="03020402040406030203" pitchFamily="66" charset="-78"/>
            </a:rPr>
            <a:t>Comenzar </a:t>
          </a:r>
        </a:p>
        <a:p>
          <a:pPr algn="ctr"/>
          <a:r>
            <a:rPr lang="en-US" sz="2000">
              <a:solidFill>
                <a:schemeClr val="bg1"/>
              </a:solidFill>
              <a:latin typeface="Montserrat Black" panose="00000A00000000000000" pitchFamily="2" charset="0"/>
              <a:cs typeface="Arabic Typesetting" panose="03020402040406030203" pitchFamily="66" charset="-78"/>
            </a:rPr>
            <a:t>Prueba</a:t>
          </a:r>
        </a:p>
      </xdr:txBody>
    </xdr:sp>
    <xdr:clientData/>
  </xdr:twoCellAnchor>
  <xdr:twoCellAnchor editAs="oneCell">
    <xdr:from>
      <xdr:col>0</xdr:col>
      <xdr:colOff>596900</xdr:colOff>
      <xdr:row>17</xdr:row>
      <xdr:rowOff>106157</xdr:rowOff>
    </xdr:from>
    <xdr:to>
      <xdr:col>1</xdr:col>
      <xdr:colOff>1885950</xdr:colOff>
      <xdr:row>18</xdr:row>
      <xdr:rowOff>355599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6900" y="4481307"/>
          <a:ext cx="1898650" cy="433592"/>
        </a:xfrm>
        <a:prstGeom prst="rect">
          <a:avLst/>
        </a:prstGeom>
      </xdr:spPr>
    </xdr:pic>
    <xdr:clientData/>
  </xdr:twoCellAnchor>
  <xdr:twoCellAnchor editAs="oneCell">
    <xdr:from>
      <xdr:col>8</xdr:col>
      <xdr:colOff>1427797</xdr:colOff>
      <xdr:row>18</xdr:row>
      <xdr:rowOff>31411</xdr:rowOff>
    </xdr:from>
    <xdr:to>
      <xdr:col>9</xdr:col>
      <xdr:colOff>2241551</xdr:colOff>
      <xdr:row>18</xdr:row>
      <xdr:rowOff>539749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5397" y="4590711"/>
          <a:ext cx="2388554" cy="5083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64</xdr:row>
      <xdr:rowOff>276225</xdr:rowOff>
    </xdr:from>
    <xdr:to>
      <xdr:col>13</xdr:col>
      <xdr:colOff>390938</xdr:colOff>
      <xdr:row>66</xdr:row>
      <xdr:rowOff>28575</xdr:rowOff>
    </xdr:to>
    <xdr:sp macro="[0]!OcultarHoj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308353" y="17099990"/>
          <a:ext cx="2445350" cy="730997"/>
        </a:xfrm>
        <a:prstGeom prst="roundRect">
          <a:avLst>
            <a:gd name="adj" fmla="val 45282"/>
          </a:avLst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Arial Black" panose="020B0A04020102020204" pitchFamily="34" charset="0"/>
              <a:cs typeface="Arabic Typesetting" panose="03020402040406030203" pitchFamily="66" charset="-78"/>
            </a:rPr>
            <a:t>Finalizar Prueba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71437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514349</xdr:colOff>
      <xdr:row>3</xdr:row>
      <xdr:rowOff>28575</xdr:rowOff>
    </xdr:from>
    <xdr:to>
      <xdr:col>18</xdr:col>
      <xdr:colOff>752474</xdr:colOff>
      <xdr:row>21</xdr:row>
      <xdr:rowOff>38100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AFC447F-1F28-1C5C-A562-45FE344ED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138112</xdr:rowOff>
    </xdr:from>
    <xdr:to>
      <xdr:col>0</xdr:col>
      <xdr:colOff>0</xdr:colOff>
      <xdr:row>15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147637</xdr:rowOff>
    </xdr:from>
    <xdr:to>
      <xdr:col>0</xdr:col>
      <xdr:colOff>0</xdr:colOff>
      <xdr:row>15</xdr:row>
      <xdr:rowOff>33337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147637</xdr:rowOff>
    </xdr:from>
    <xdr:to>
      <xdr:col>0</xdr:col>
      <xdr:colOff>0</xdr:colOff>
      <xdr:row>15</xdr:row>
      <xdr:rowOff>33337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90487</xdr:rowOff>
    </xdr:from>
    <xdr:to>
      <xdr:col>0</xdr:col>
      <xdr:colOff>0</xdr:colOff>
      <xdr:row>21</xdr:row>
      <xdr:rowOff>166687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409575</xdr:colOff>
      <xdr:row>10</xdr:row>
      <xdr:rowOff>76200</xdr:rowOff>
    </xdr:from>
    <xdr:to>
      <xdr:col>14</xdr:col>
      <xdr:colOff>409575</xdr:colOff>
      <xdr:row>24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FE0DBA-245E-6A79-2160-8A2F8C24C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176212</xdr:rowOff>
    </xdr:from>
    <xdr:to>
      <xdr:col>0</xdr:col>
      <xdr:colOff>0</xdr:colOff>
      <xdr:row>15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166687</xdr:rowOff>
    </xdr:from>
    <xdr:to>
      <xdr:col>0</xdr:col>
      <xdr:colOff>0</xdr:colOff>
      <xdr:row>15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242887</xdr:colOff>
      <xdr:row>13</xdr:row>
      <xdr:rowOff>180975</xdr:rowOff>
    </xdr:from>
    <xdr:to>
      <xdr:col>15</xdr:col>
      <xdr:colOff>242887</xdr:colOff>
      <xdr:row>28</xdr:row>
      <xdr:rowOff>66675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4F845EA-7EAD-2E4A-A217-D250ACE44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9</xdr:row>
      <xdr:rowOff>161925</xdr:rowOff>
    </xdr:from>
    <xdr:to>
      <xdr:col>18</xdr:col>
      <xdr:colOff>28575</xdr:colOff>
      <xdr:row>24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A13F6C2-7A9B-F295-408E-21C5E4D65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36</xdr:row>
          <xdr:rowOff>161925</xdr:rowOff>
        </xdr:from>
        <xdr:to>
          <xdr:col>10</xdr:col>
          <xdr:colOff>571500</xdr:colOff>
          <xdr:row>36</xdr:row>
          <xdr:rowOff>457200</xdr:rowOff>
        </xdr:to>
        <xdr:sp macro="" textlink="">
          <xdr:nvSpPr>
            <xdr:cNvPr id="9249" name="OptionButton25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8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828675</xdr:colOff>
          <xdr:row>36</xdr:row>
          <xdr:rowOff>161925</xdr:rowOff>
        </xdr:from>
        <xdr:to>
          <xdr:col>10</xdr:col>
          <xdr:colOff>1238250</xdr:colOff>
          <xdr:row>36</xdr:row>
          <xdr:rowOff>457200</xdr:rowOff>
        </xdr:to>
        <xdr:sp macro="" textlink="">
          <xdr:nvSpPr>
            <xdr:cNvPr id="9250" name="OptionButton26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8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34</xdr:row>
          <xdr:rowOff>190500</xdr:rowOff>
        </xdr:from>
        <xdr:to>
          <xdr:col>10</xdr:col>
          <xdr:colOff>571500</xdr:colOff>
          <xdr:row>34</xdr:row>
          <xdr:rowOff>485775</xdr:rowOff>
        </xdr:to>
        <xdr:sp macro="" textlink="">
          <xdr:nvSpPr>
            <xdr:cNvPr id="9247" name="OptionButton23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8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828675</xdr:colOff>
          <xdr:row>34</xdr:row>
          <xdr:rowOff>190500</xdr:rowOff>
        </xdr:from>
        <xdr:to>
          <xdr:col>10</xdr:col>
          <xdr:colOff>1238250</xdr:colOff>
          <xdr:row>34</xdr:row>
          <xdr:rowOff>485775</xdr:rowOff>
        </xdr:to>
        <xdr:sp macro="" textlink="">
          <xdr:nvSpPr>
            <xdr:cNvPr id="9248" name="OptionButton24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8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29</xdr:row>
          <xdr:rowOff>190500</xdr:rowOff>
        </xdr:from>
        <xdr:to>
          <xdr:col>10</xdr:col>
          <xdr:colOff>581025</xdr:colOff>
          <xdr:row>29</xdr:row>
          <xdr:rowOff>504825</xdr:rowOff>
        </xdr:to>
        <xdr:sp macro="" textlink="">
          <xdr:nvSpPr>
            <xdr:cNvPr id="9245" name="OptionButton21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8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29</xdr:row>
          <xdr:rowOff>200025</xdr:rowOff>
        </xdr:from>
        <xdr:to>
          <xdr:col>10</xdr:col>
          <xdr:colOff>1247775</xdr:colOff>
          <xdr:row>29</xdr:row>
          <xdr:rowOff>495300</xdr:rowOff>
        </xdr:to>
        <xdr:sp macro="" textlink="">
          <xdr:nvSpPr>
            <xdr:cNvPr id="9246" name="OptionButton22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8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28</xdr:row>
          <xdr:rowOff>171450</xdr:rowOff>
        </xdr:from>
        <xdr:to>
          <xdr:col>10</xdr:col>
          <xdr:colOff>581025</xdr:colOff>
          <xdr:row>28</xdr:row>
          <xdr:rowOff>466725</xdr:rowOff>
        </xdr:to>
        <xdr:sp macro="" textlink="">
          <xdr:nvSpPr>
            <xdr:cNvPr id="9243" name="OptionButton19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8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28</xdr:row>
          <xdr:rowOff>171450</xdr:rowOff>
        </xdr:from>
        <xdr:to>
          <xdr:col>10</xdr:col>
          <xdr:colOff>1247775</xdr:colOff>
          <xdr:row>28</xdr:row>
          <xdr:rowOff>466725</xdr:rowOff>
        </xdr:to>
        <xdr:sp macro="" textlink="">
          <xdr:nvSpPr>
            <xdr:cNvPr id="9244" name="OptionButton20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8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26</xdr:row>
          <xdr:rowOff>114300</xdr:rowOff>
        </xdr:from>
        <xdr:to>
          <xdr:col>10</xdr:col>
          <xdr:colOff>581025</xdr:colOff>
          <xdr:row>26</xdr:row>
          <xdr:rowOff>409575</xdr:rowOff>
        </xdr:to>
        <xdr:sp macro="" textlink="">
          <xdr:nvSpPr>
            <xdr:cNvPr id="9241" name="OptionButton17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8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26</xdr:row>
          <xdr:rowOff>114300</xdr:rowOff>
        </xdr:from>
        <xdr:to>
          <xdr:col>10</xdr:col>
          <xdr:colOff>1247775</xdr:colOff>
          <xdr:row>26</xdr:row>
          <xdr:rowOff>409575</xdr:rowOff>
        </xdr:to>
        <xdr:sp macro="" textlink="">
          <xdr:nvSpPr>
            <xdr:cNvPr id="9242" name="OptionButton18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8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21</xdr:row>
          <xdr:rowOff>85725</xdr:rowOff>
        </xdr:from>
        <xdr:to>
          <xdr:col>10</xdr:col>
          <xdr:colOff>581025</xdr:colOff>
          <xdr:row>21</xdr:row>
          <xdr:rowOff>381000</xdr:rowOff>
        </xdr:to>
        <xdr:sp macro="" textlink="">
          <xdr:nvSpPr>
            <xdr:cNvPr id="9239" name="OptionButton15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8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21</xdr:row>
          <xdr:rowOff>85725</xdr:rowOff>
        </xdr:from>
        <xdr:to>
          <xdr:col>10</xdr:col>
          <xdr:colOff>1247775</xdr:colOff>
          <xdr:row>21</xdr:row>
          <xdr:rowOff>381000</xdr:rowOff>
        </xdr:to>
        <xdr:sp macro="" textlink="">
          <xdr:nvSpPr>
            <xdr:cNvPr id="9240" name="OptionButton16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8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20</xdr:row>
          <xdr:rowOff>123825</xdr:rowOff>
        </xdr:from>
        <xdr:to>
          <xdr:col>10</xdr:col>
          <xdr:colOff>600075</xdr:colOff>
          <xdr:row>20</xdr:row>
          <xdr:rowOff>419100</xdr:rowOff>
        </xdr:to>
        <xdr:sp macro="" textlink="">
          <xdr:nvSpPr>
            <xdr:cNvPr id="9237" name="OptionButton13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8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20</xdr:row>
          <xdr:rowOff>123825</xdr:rowOff>
        </xdr:from>
        <xdr:to>
          <xdr:col>10</xdr:col>
          <xdr:colOff>1247775</xdr:colOff>
          <xdr:row>20</xdr:row>
          <xdr:rowOff>419100</xdr:rowOff>
        </xdr:to>
        <xdr:sp macro="" textlink="">
          <xdr:nvSpPr>
            <xdr:cNvPr id="9238" name="OptionButton14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8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14</xdr:row>
          <xdr:rowOff>238125</xdr:rowOff>
        </xdr:from>
        <xdr:to>
          <xdr:col>10</xdr:col>
          <xdr:colOff>581025</xdr:colOff>
          <xdr:row>14</xdr:row>
          <xdr:rowOff>514350</xdr:rowOff>
        </xdr:to>
        <xdr:sp macro="" textlink="">
          <xdr:nvSpPr>
            <xdr:cNvPr id="9235" name="OptionButton11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8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14</xdr:row>
          <xdr:rowOff>238125</xdr:rowOff>
        </xdr:from>
        <xdr:to>
          <xdr:col>10</xdr:col>
          <xdr:colOff>1247775</xdr:colOff>
          <xdr:row>14</xdr:row>
          <xdr:rowOff>533400</xdr:rowOff>
        </xdr:to>
        <xdr:sp macro="" textlink="">
          <xdr:nvSpPr>
            <xdr:cNvPr id="9236" name="OptionButton12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8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</xdr:row>
          <xdr:rowOff>142875</xdr:rowOff>
        </xdr:from>
        <xdr:to>
          <xdr:col>10</xdr:col>
          <xdr:colOff>581025</xdr:colOff>
          <xdr:row>2</xdr:row>
          <xdr:rowOff>447675</xdr:rowOff>
        </xdr:to>
        <xdr:sp macro="" textlink="">
          <xdr:nvSpPr>
            <xdr:cNvPr id="9218" name="Option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847725</xdr:colOff>
          <xdr:row>2</xdr:row>
          <xdr:rowOff>142875</xdr:rowOff>
        </xdr:from>
        <xdr:to>
          <xdr:col>10</xdr:col>
          <xdr:colOff>1257300</xdr:colOff>
          <xdr:row>2</xdr:row>
          <xdr:rowOff>447675</xdr:rowOff>
        </xdr:to>
        <xdr:sp macro="" textlink="">
          <xdr:nvSpPr>
            <xdr:cNvPr id="9219" name="Option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4</xdr:row>
          <xdr:rowOff>161925</xdr:rowOff>
        </xdr:from>
        <xdr:to>
          <xdr:col>10</xdr:col>
          <xdr:colOff>581025</xdr:colOff>
          <xdr:row>6</xdr:row>
          <xdr:rowOff>57150</xdr:rowOff>
        </xdr:to>
        <xdr:sp macro="" textlink="">
          <xdr:nvSpPr>
            <xdr:cNvPr id="9223" name="OptionButton3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4</xdr:row>
          <xdr:rowOff>161925</xdr:rowOff>
        </xdr:from>
        <xdr:to>
          <xdr:col>10</xdr:col>
          <xdr:colOff>1247775</xdr:colOff>
          <xdr:row>6</xdr:row>
          <xdr:rowOff>57150</xdr:rowOff>
        </xdr:to>
        <xdr:sp macro="" textlink="">
          <xdr:nvSpPr>
            <xdr:cNvPr id="9224" name="OptionButton4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8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7</xdr:row>
          <xdr:rowOff>85725</xdr:rowOff>
        </xdr:from>
        <xdr:to>
          <xdr:col>10</xdr:col>
          <xdr:colOff>581025</xdr:colOff>
          <xdr:row>7</xdr:row>
          <xdr:rowOff>381000</xdr:rowOff>
        </xdr:to>
        <xdr:sp macro="" textlink="">
          <xdr:nvSpPr>
            <xdr:cNvPr id="9225" name="OptionButton5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7</xdr:row>
          <xdr:rowOff>95250</xdr:rowOff>
        </xdr:from>
        <xdr:to>
          <xdr:col>10</xdr:col>
          <xdr:colOff>1247775</xdr:colOff>
          <xdr:row>7</xdr:row>
          <xdr:rowOff>390525</xdr:rowOff>
        </xdr:to>
        <xdr:sp macro="" textlink="">
          <xdr:nvSpPr>
            <xdr:cNvPr id="9226" name="OptionButton6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8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8</xdr:row>
          <xdr:rowOff>209550</xdr:rowOff>
        </xdr:from>
        <xdr:to>
          <xdr:col>10</xdr:col>
          <xdr:colOff>581025</xdr:colOff>
          <xdr:row>8</xdr:row>
          <xdr:rowOff>504825</xdr:rowOff>
        </xdr:to>
        <xdr:sp macro="" textlink="">
          <xdr:nvSpPr>
            <xdr:cNvPr id="9228" name="OptionButton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8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8</xdr:row>
          <xdr:rowOff>209550</xdr:rowOff>
        </xdr:from>
        <xdr:to>
          <xdr:col>10</xdr:col>
          <xdr:colOff>1247775</xdr:colOff>
          <xdr:row>8</xdr:row>
          <xdr:rowOff>504825</xdr:rowOff>
        </xdr:to>
        <xdr:sp macro="" textlink="">
          <xdr:nvSpPr>
            <xdr:cNvPr id="9229" name="OptionButton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8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13</xdr:row>
          <xdr:rowOff>152400</xdr:rowOff>
        </xdr:from>
        <xdr:to>
          <xdr:col>10</xdr:col>
          <xdr:colOff>542925</xdr:colOff>
          <xdr:row>13</xdr:row>
          <xdr:rowOff>447675</xdr:rowOff>
        </xdr:to>
        <xdr:sp macro="" textlink="">
          <xdr:nvSpPr>
            <xdr:cNvPr id="9233" name="OptionButton9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8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13</xdr:row>
          <xdr:rowOff>152400</xdr:rowOff>
        </xdr:from>
        <xdr:to>
          <xdr:col>10</xdr:col>
          <xdr:colOff>1247775</xdr:colOff>
          <xdr:row>13</xdr:row>
          <xdr:rowOff>447675</xdr:rowOff>
        </xdr:to>
        <xdr:sp macro="" textlink="">
          <xdr:nvSpPr>
            <xdr:cNvPr id="9234" name="OptionButton10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8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psico-my.sharepoint.com/Users/Acronis/Downloads/Guia%20Herramientas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 de Contenido"/>
      <sheetName val="AutoFiltros"/>
      <sheetName val="Filtros Avanzados"/>
      <sheetName val="Validacion de datos"/>
      <sheetName val="Proteger Hoja"/>
      <sheetName val="Proteger Libro"/>
      <sheetName val="Ordenar"/>
      <sheetName val="Subtotales"/>
      <sheetName val="Tablas Dinamicas"/>
      <sheetName val="Formato Condicional"/>
      <sheetName val="Tabla de Datos"/>
      <sheetName val="Buscar Objetivo"/>
      <sheetName val="Solver"/>
      <sheetName val="Macros Grabadas"/>
      <sheetName val="Consolidar"/>
      <sheetName val="Graficos"/>
    </sheetNames>
    <sheetDataSet>
      <sheetData sheetId="0"/>
      <sheetData sheetId="1"/>
      <sheetData sheetId="2"/>
      <sheetData sheetId="3">
        <row r="120">
          <cell r="C120" t="str">
            <v>Cundinamarca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319A2-EB2D-466D-80E6-8E3119E0A6C9}" name="Tabla1" displayName="Tabla1" ref="C1:J22" totalsRowShown="0" headerRowDxfId="1" headerRowBorderDxfId="11" tableBorderDxfId="12" totalsRowBorderDxfId="10">
  <sortState xmlns:xlrd2="http://schemas.microsoft.com/office/spreadsheetml/2017/richdata2" ref="C2:J22">
    <sortCondition descending="1" ref="I1:I22"/>
  </sortState>
  <tableColumns count="8">
    <tableColumn id="1" xr3:uid="{7D46C988-44CF-4650-B387-E3BBC4A272C4}" name="ID empleado" dataDxfId="9"/>
    <tableColumn id="2" xr3:uid="{3E804B38-D8C2-4E1B-8137-E99FE5EE2CC5}" name="Apellido" dataDxfId="8"/>
    <tableColumn id="3" xr3:uid="{30BA81FE-4234-4150-B1F6-BDA29C4F31BA}" name="Nombre" dataDxfId="7"/>
    <tableColumn id="4" xr3:uid="{0AEA76C5-A202-4827-BB34-35B979EDEAA0}" name="Seccional" dataDxfId="6"/>
    <tableColumn id="5" xr3:uid="{3DF009A9-01B0-420E-AC24-4CB6EBE3F197}" name="Facultad" dataDxfId="5"/>
    <tableColumn id="6" xr3:uid="{20ECEFDD-D173-4BE6-B381-6F38D86132B9}" name="Cargo" dataDxfId="4"/>
    <tableColumn id="7" xr3:uid="{D09EEF4C-AB51-4843-9AEB-03A7E312240C}" name="Salario" dataDxfId="3"/>
    <tableColumn id="8" xr3:uid="{9F618AE2-46CE-41BE-9101-3203CB8CBCB5}" name="Días Trabaj." dataDxfId="2"/>
  </tableColumns>
  <tableStyleInfo name="TableStyleDark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F6D34B-19D6-4C89-8C3E-CF5A7A9F33C7}" name="Tabla10" displayName="Tabla10" ref="B2:C23" totalsRowShown="0" headerRowDxfId="17" dataDxfId="15" headerRowBorderDxfId="16" tableBorderDxfId="14">
  <autoFilter ref="B2:C23" xr:uid="{CDF6D34B-19D6-4C89-8C3E-CF5A7A9F33C7}">
    <filterColumn colId="0" hiddenButton="1"/>
    <filterColumn colId="1" hiddenButton="1"/>
  </autoFilter>
  <tableColumns count="2">
    <tableColumn id="1" xr3:uid="{56FBA3E0-560D-4FAD-BE73-0325D5C345A6}" name="ID empleado" dataDxfId="13"/>
    <tableColumn id="2" xr3:uid="{3721E698-61F7-4C3F-BA6C-7618C6BB8A5D}" name="Salario" dataDxfId="0">
      <calculatedColumnFormula>+VLOOKUP(Tabla10[[#This Row],[ID empleado]],Tabla1[],7,FALSE)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22.emf"/><Relationship Id="rId21" Type="http://schemas.openxmlformats.org/officeDocument/2006/relationships/image" Target="../media/image13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6.emf"/><Relationship Id="rId50" Type="http://schemas.openxmlformats.org/officeDocument/2006/relationships/control" Target="../activeX/activeX24.xml"/><Relationship Id="rId55" Type="http://schemas.openxmlformats.org/officeDocument/2006/relationships/image" Target="../media/image30.emf"/><Relationship Id="rId7" Type="http://schemas.openxmlformats.org/officeDocument/2006/relationships/image" Target="../media/image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.xml"/><Relationship Id="rId29" Type="http://schemas.openxmlformats.org/officeDocument/2006/relationships/image" Target="../media/image17.emf"/><Relationship Id="rId11" Type="http://schemas.openxmlformats.org/officeDocument/2006/relationships/image" Target="../media/image8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21.emf"/><Relationship Id="rId40" Type="http://schemas.openxmlformats.org/officeDocument/2006/relationships/control" Target="../activeX/activeX19.xml"/><Relationship Id="rId45" Type="http://schemas.openxmlformats.org/officeDocument/2006/relationships/image" Target="../media/image25.emf"/><Relationship Id="rId53" Type="http://schemas.openxmlformats.org/officeDocument/2006/relationships/image" Target="../media/image29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6.emf"/><Relationship Id="rId30" Type="http://schemas.openxmlformats.org/officeDocument/2006/relationships/control" Target="../activeX/activeX14.xml"/><Relationship Id="rId35" Type="http://schemas.openxmlformats.org/officeDocument/2006/relationships/image" Target="../media/image20.emf"/><Relationship Id="rId43" Type="http://schemas.openxmlformats.org/officeDocument/2006/relationships/image" Target="../media/image24.emf"/><Relationship Id="rId48" Type="http://schemas.openxmlformats.org/officeDocument/2006/relationships/control" Target="../activeX/activeX23.xml"/><Relationship Id="rId56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33" Type="http://schemas.openxmlformats.org/officeDocument/2006/relationships/image" Target="../media/image19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23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1D4A-E475-4E24-A1FC-D145D68A4301}">
  <sheetPr codeName="Hoja9"/>
  <dimension ref="A1:N27"/>
  <sheetViews>
    <sheetView showGridLines="0" showRowColHeaders="0" tabSelected="1" topLeftCell="A2" zoomScaleNormal="100" zoomScalePageLayoutView="55" workbookViewId="0">
      <selection activeCell="B1" sqref="B1"/>
    </sheetView>
  </sheetViews>
  <sheetFormatPr baseColWidth="10" defaultColWidth="0" defaultRowHeight="15" zeroHeight="1" x14ac:dyDescent="0.25"/>
  <cols>
    <col min="1" max="1" width="8.7109375" style="5" customWidth="1"/>
    <col min="2" max="2" width="29.42578125" style="5" customWidth="1"/>
    <col min="3" max="8" width="11.42578125" style="5" customWidth="1"/>
    <col min="9" max="9" width="22.5703125" style="4" customWidth="1"/>
    <col min="10" max="10" width="72.5703125" style="5" customWidth="1"/>
    <col min="11" max="11" width="13.5703125" style="5" hidden="1" customWidth="1"/>
    <col min="12" max="12" width="13" style="5" hidden="1" customWidth="1"/>
    <col min="13" max="13" width="23.85546875" style="5" hidden="1" customWidth="1"/>
    <col min="14" max="14" width="3.28515625" style="5" hidden="1" customWidth="1"/>
    <col min="15" max="16384" width="11.42578125" style="5" hidden="1"/>
  </cols>
  <sheetData>
    <row r="1" spans="1:13" ht="6" hidden="1" customHeight="1" x14ac:dyDescent="0.25">
      <c r="A1" s="52">
        <f>B1+1</f>
        <v>2</v>
      </c>
      <c r="B1" s="52">
        <v>1</v>
      </c>
      <c r="I1" s="5"/>
    </row>
    <row r="2" spans="1:13" ht="15.75" customHeight="1" x14ac:dyDescent="0.25">
      <c r="I2" s="5"/>
      <c r="L2" s="50"/>
    </row>
    <row r="3" spans="1:13" ht="15" customHeight="1" x14ac:dyDescent="0.25">
      <c r="B3" s="98" t="s">
        <v>87</v>
      </c>
      <c r="C3" s="98"/>
      <c r="D3" s="98"/>
      <c r="E3" s="98"/>
      <c r="F3" s="98"/>
      <c r="G3" s="98"/>
      <c r="H3" s="98"/>
      <c r="I3" s="98"/>
      <c r="K3" s="53" t="s">
        <v>61</v>
      </c>
      <c r="L3" s="54">
        <v>46310.691307870373</v>
      </c>
      <c r="M3" s="96">
        <f>IF(L4-L3&lt;0,0,L4-L3)</f>
        <v>4.1967592587752733E-2</v>
      </c>
    </row>
    <row r="4" spans="1:13" ht="15" customHeight="1" x14ac:dyDescent="0.25">
      <c r="B4" s="98"/>
      <c r="C4" s="98"/>
      <c r="D4" s="98"/>
      <c r="E4" s="98"/>
      <c r="F4" s="98"/>
      <c r="G4" s="98"/>
      <c r="H4" s="98"/>
      <c r="I4" s="98"/>
      <c r="K4" s="53" t="s">
        <v>62</v>
      </c>
      <c r="L4" s="54">
        <v>46310.733275462961</v>
      </c>
      <c r="M4" s="96"/>
    </row>
    <row r="5" spans="1:13" ht="15" customHeight="1" x14ac:dyDescent="0.25">
      <c r="B5" s="98"/>
      <c r="C5" s="98"/>
      <c r="D5" s="98"/>
      <c r="E5" s="98"/>
      <c r="F5" s="98"/>
      <c r="G5" s="98"/>
      <c r="H5" s="98"/>
      <c r="I5" s="98"/>
      <c r="L5" s="11"/>
    </row>
    <row r="6" spans="1:13" ht="23.1" customHeight="1" thickBot="1" x14ac:dyDescent="0.3">
      <c r="I6" s="5"/>
      <c r="L6" s="51"/>
    </row>
    <row r="7" spans="1:13" ht="29.1" customHeight="1" thickBot="1" x14ac:dyDescent="0.3">
      <c r="B7" s="61" t="s">
        <v>27</v>
      </c>
      <c r="C7" s="99" t="s">
        <v>120</v>
      </c>
      <c r="D7" s="99"/>
      <c r="E7" s="99"/>
      <c r="F7" s="99"/>
      <c r="G7" s="99"/>
      <c r="H7" s="99"/>
      <c r="I7" s="99"/>
    </row>
    <row r="8" spans="1:13" ht="29.1" customHeight="1" thickBot="1" x14ac:dyDescent="0.3">
      <c r="B8" s="61" t="s">
        <v>86</v>
      </c>
      <c r="C8" s="99">
        <v>1033687070</v>
      </c>
      <c r="D8" s="99"/>
      <c r="E8" s="99"/>
      <c r="F8" s="99"/>
      <c r="G8" s="99"/>
      <c r="H8" s="99"/>
      <c r="I8" s="99"/>
    </row>
    <row r="9" spans="1:13" ht="29.1" customHeight="1" thickBot="1" x14ac:dyDescent="0.3">
      <c r="B9" s="61" t="s">
        <v>119</v>
      </c>
      <c r="C9" s="101" t="s">
        <v>121</v>
      </c>
      <c r="D9" s="101"/>
      <c r="E9" s="101"/>
      <c r="F9" s="101"/>
      <c r="G9" s="101"/>
      <c r="H9" s="101"/>
      <c r="I9" s="101"/>
    </row>
    <row r="10" spans="1:13" ht="29.1" customHeight="1" thickBot="1" x14ac:dyDescent="0.3">
      <c r="B10" s="61" t="s">
        <v>28</v>
      </c>
      <c r="C10" s="100">
        <f>IF('Respuestas &amp; Puntos'!N1=0,"",'Respuestas &amp; Puntos'!N1)</f>
        <v>35</v>
      </c>
      <c r="D10" s="100"/>
      <c r="E10" s="100"/>
      <c r="F10" s="100"/>
      <c r="G10" s="100"/>
      <c r="H10" s="100"/>
      <c r="I10" s="100"/>
    </row>
    <row r="11" spans="1:13" ht="29.1" customHeight="1" thickBot="1" x14ac:dyDescent="0.3">
      <c r="B11" s="61" t="s">
        <v>63</v>
      </c>
      <c r="C11" s="97">
        <f>IF(AND(L3=0,M3=0),"",IF(AND(L3&gt;0,L4=0),"Contando…",IF(L3&gt;L4,"No es válido un segundo intento.",M3)))</f>
        <v>4.1967592587752733E-2</v>
      </c>
      <c r="D11" s="97"/>
      <c r="E11" s="97"/>
      <c r="F11" s="97"/>
      <c r="G11" s="97"/>
      <c r="H11" s="97"/>
      <c r="I11" s="97"/>
    </row>
    <row r="12" spans="1:13" ht="29.1" customHeight="1" thickBot="1" x14ac:dyDescent="0.3">
      <c r="B12" s="61" t="s">
        <v>78</v>
      </c>
      <c r="C12" s="95">
        <f>IF(L3=0,"No ha iniciado la prueba",L3)</f>
        <v>46310.691307870373</v>
      </c>
      <c r="D12" s="95"/>
      <c r="E12" s="95"/>
      <c r="F12" s="95"/>
      <c r="G12" s="95"/>
      <c r="H12" s="95"/>
      <c r="I12" s="95"/>
    </row>
    <row r="13" spans="1:13" ht="29.1" customHeight="1" thickBot="1" x14ac:dyDescent="0.3">
      <c r="B13" s="61" t="s">
        <v>79</v>
      </c>
      <c r="C13" s="95">
        <f>IF(L4=0,"No ha finalizado la prueba",L4)</f>
        <v>46310.733275462961</v>
      </c>
      <c r="D13" s="95"/>
      <c r="E13" s="95"/>
      <c r="F13" s="95"/>
      <c r="G13" s="95"/>
      <c r="H13" s="95"/>
      <c r="I13" s="95"/>
    </row>
    <row r="14" spans="1:13" x14ac:dyDescent="0.25">
      <c r="I14" s="5"/>
    </row>
    <row r="15" spans="1:13" x14ac:dyDescent="0.25">
      <c r="I15" s="5"/>
    </row>
    <row r="16" spans="1:13" x14ac:dyDescent="0.25">
      <c r="I16" s="5"/>
    </row>
    <row r="17" spans="2:9" x14ac:dyDescent="0.25">
      <c r="I17" s="5"/>
    </row>
    <row r="18" spans="2:9" x14ac:dyDescent="0.25">
      <c r="I18" s="5"/>
    </row>
    <row r="19" spans="2:9" ht="93" customHeight="1" x14ac:dyDescent="0.25">
      <c r="I19" s="5"/>
    </row>
    <row r="20" spans="2:9" hidden="1" x14ac:dyDescent="0.25">
      <c r="B20" s="4"/>
      <c r="C20" s="4"/>
      <c r="D20" s="4"/>
      <c r="E20" s="4"/>
      <c r="F20" s="4"/>
      <c r="G20" s="4"/>
      <c r="H20" s="4"/>
    </row>
    <row r="21" spans="2:9" hidden="1" x14ac:dyDescent="0.25">
      <c r="B21" s="4"/>
      <c r="C21" s="4"/>
      <c r="D21" s="4"/>
      <c r="E21" s="4"/>
      <c r="F21" s="4"/>
      <c r="G21" s="4"/>
      <c r="H21" s="4"/>
    </row>
    <row r="22" spans="2:9" hidden="1" x14ac:dyDescent="0.25">
      <c r="B22" s="4"/>
      <c r="C22" s="4"/>
      <c r="D22" s="4"/>
      <c r="E22" s="4"/>
      <c r="F22" s="4"/>
      <c r="G22" s="4"/>
      <c r="H22" s="4"/>
    </row>
    <row r="23" spans="2:9" hidden="1" x14ac:dyDescent="0.25">
      <c r="B23" s="4"/>
      <c r="C23" s="4"/>
      <c r="D23" s="4"/>
      <c r="E23" s="4"/>
      <c r="F23" s="4"/>
      <c r="G23" s="4"/>
      <c r="H23" s="4"/>
    </row>
    <row r="24" spans="2:9" hidden="1" x14ac:dyDescent="0.25">
      <c r="B24" s="4"/>
      <c r="C24" s="4"/>
      <c r="D24" s="4"/>
      <c r="E24" s="4"/>
      <c r="F24" s="4"/>
      <c r="G24" s="4"/>
      <c r="H24" s="4"/>
    </row>
    <row r="25" spans="2:9" hidden="1" x14ac:dyDescent="0.25">
      <c r="B25" s="4"/>
      <c r="C25" s="4"/>
      <c r="D25" s="4"/>
      <c r="E25" s="4"/>
      <c r="F25" s="4"/>
      <c r="G25" s="4"/>
      <c r="H25" s="4"/>
    </row>
    <row r="26" spans="2:9" hidden="1" x14ac:dyDescent="0.25">
      <c r="B26" s="4"/>
      <c r="C26" s="4"/>
      <c r="D26" s="4"/>
      <c r="E26" s="4"/>
      <c r="F26" s="4"/>
      <c r="G26" s="4"/>
      <c r="H26" s="4"/>
    </row>
    <row r="27" spans="2:9" hidden="1" x14ac:dyDescent="0.25">
      <c r="B27" s="4"/>
      <c r="C27" s="4"/>
      <c r="D27" s="4"/>
      <c r="E27" s="4"/>
      <c r="F27" s="4"/>
      <c r="G27" s="4"/>
      <c r="H27" s="4"/>
    </row>
  </sheetData>
  <sheetProtection algorithmName="SHA-512" hashValue="LPWw0VSE/rWfe2DAgH3Rm6WFHFJQfI6PIdpe4og/okF6JUbQ/MHtg4RxRNL8N4xeTBQYioyU6n/ONeMP8CMkYA==" saltValue="WsadEOj5OYyljginfjYqCQ==" spinCount="100000" sheet="1" selectLockedCells="1"/>
  <mergeCells count="9">
    <mergeCell ref="C12:I12"/>
    <mergeCell ref="C13:I13"/>
    <mergeCell ref="M3:M4"/>
    <mergeCell ref="C11:I11"/>
    <mergeCell ref="B3:I5"/>
    <mergeCell ref="C7:I7"/>
    <mergeCell ref="C8:I8"/>
    <mergeCell ref="C10:I10"/>
    <mergeCell ref="C9:I9"/>
  </mergeCells>
  <pageMargins left="0.7" right="0.7" top="0.75" bottom="0.75" header="0.3" footer="0.3"/>
  <pageSetup orientation="portrait" verticalDpi="597" r:id="rId1"/>
  <colBreaks count="1" manualBreakCount="1">
    <brk id="14" max="1048575" man="1"/>
  </colBreak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02789-56E3-4A97-9B11-6A3F33D471FD}">
  <sheetPr codeName="Hoja1"/>
  <dimension ref="A1:N67"/>
  <sheetViews>
    <sheetView showGridLines="0" showRowColHeaders="0" topLeftCell="A49" zoomScaleNormal="100" workbookViewId="0">
      <selection activeCell="J58" sqref="J58"/>
    </sheetView>
  </sheetViews>
  <sheetFormatPr baseColWidth="10" defaultColWidth="0" defaultRowHeight="15" zeroHeight="1" x14ac:dyDescent="0.25"/>
  <cols>
    <col min="1" max="1" width="11.42578125" customWidth="1"/>
    <col min="2" max="2" width="9.85546875" style="2" customWidth="1"/>
    <col min="3" max="3" width="11.85546875" bestFit="1" customWidth="1"/>
    <col min="4" max="8" width="11.42578125" customWidth="1"/>
    <col min="9" max="9" width="12.7109375" customWidth="1"/>
    <col min="10" max="10" width="24.7109375" style="10" customWidth="1"/>
    <col min="11" max="12" width="11.42578125" customWidth="1"/>
    <col min="13" max="13" width="12" customWidth="1"/>
    <col min="14" max="14" width="8.42578125" customWidth="1"/>
    <col min="15" max="16384" width="11.42578125" hidden="1"/>
  </cols>
  <sheetData>
    <row r="1" spans="2:11" ht="15.75" thickBot="1" x14ac:dyDescent="0.3"/>
    <row r="2" spans="2:11" ht="44.1" customHeight="1" thickBot="1" x14ac:dyDescent="0.3">
      <c r="B2" s="105" t="s">
        <v>26</v>
      </c>
      <c r="C2" s="106"/>
      <c r="D2" s="106"/>
      <c r="E2" s="106"/>
      <c r="F2" s="106"/>
      <c r="G2" s="106"/>
      <c r="H2" s="106"/>
      <c r="I2" s="106"/>
      <c r="J2" s="107"/>
    </row>
    <row r="3" spans="2:11" x14ac:dyDescent="0.25">
      <c r="B3" s="84"/>
      <c r="C3" s="85"/>
      <c r="D3" s="85"/>
      <c r="E3" s="85"/>
      <c r="F3" s="85"/>
      <c r="G3" s="85"/>
      <c r="H3" s="85"/>
      <c r="I3" s="85"/>
      <c r="J3" s="86"/>
      <c r="K3" s="6"/>
    </row>
    <row r="4" spans="2:11" x14ac:dyDescent="0.25">
      <c r="B4" s="87"/>
      <c r="C4" s="88"/>
      <c r="D4" s="89" t="s">
        <v>2</v>
      </c>
      <c r="E4" s="89"/>
      <c r="F4" s="89"/>
      <c r="G4" s="89"/>
      <c r="H4" s="89"/>
      <c r="I4" s="89"/>
      <c r="J4" s="90"/>
      <c r="K4" s="7"/>
    </row>
    <row r="5" spans="2:11" x14ac:dyDescent="0.25">
      <c r="B5" s="87"/>
      <c r="C5" s="88"/>
      <c r="D5" s="89" t="s">
        <v>3</v>
      </c>
      <c r="E5" s="89"/>
      <c r="F5" s="89"/>
      <c r="G5" s="89"/>
      <c r="H5" s="89"/>
      <c r="I5" s="89"/>
      <c r="J5" s="90"/>
      <c r="K5" s="7"/>
    </row>
    <row r="6" spans="2:11" x14ac:dyDescent="0.25">
      <c r="B6" s="87"/>
      <c r="C6" s="88"/>
      <c r="D6" s="89" t="s">
        <v>4</v>
      </c>
      <c r="E6" s="89"/>
      <c r="F6" s="89"/>
      <c r="G6" s="89"/>
      <c r="H6" s="89"/>
      <c r="I6" s="89"/>
      <c r="J6" s="90"/>
      <c r="K6" s="7"/>
    </row>
    <row r="7" spans="2:11" x14ac:dyDescent="0.25">
      <c r="B7" s="87"/>
      <c r="C7" s="88"/>
      <c r="D7" s="89" t="s">
        <v>5</v>
      </c>
      <c r="E7" s="89"/>
      <c r="F7" s="89"/>
      <c r="G7" s="89"/>
      <c r="H7" s="89"/>
      <c r="I7" s="89"/>
      <c r="J7" s="90"/>
      <c r="K7" s="7"/>
    </row>
    <row r="8" spans="2:11" x14ac:dyDescent="0.25">
      <c r="B8" s="87"/>
      <c r="C8" s="88"/>
      <c r="D8" s="89" t="s">
        <v>6</v>
      </c>
      <c r="E8" s="89"/>
      <c r="F8" s="89"/>
      <c r="G8" s="89"/>
      <c r="H8" s="89"/>
      <c r="I8" s="89"/>
      <c r="J8" s="90"/>
      <c r="K8" s="7"/>
    </row>
    <row r="9" spans="2:11" x14ac:dyDescent="0.25">
      <c r="B9" s="87"/>
      <c r="C9" s="88"/>
      <c r="D9" s="89" t="s">
        <v>7</v>
      </c>
      <c r="E9" s="89"/>
      <c r="F9" s="89"/>
      <c r="G9" s="89"/>
      <c r="H9" s="89"/>
      <c r="I9" s="89"/>
      <c r="J9" s="90"/>
      <c r="K9" s="7"/>
    </row>
    <row r="10" spans="2:11" x14ac:dyDescent="0.25">
      <c r="B10" s="87"/>
      <c r="C10" s="88"/>
      <c r="D10" s="89" t="s">
        <v>8</v>
      </c>
      <c r="E10" s="89"/>
      <c r="F10" s="89"/>
      <c r="G10" s="89"/>
      <c r="H10" s="89"/>
      <c r="I10" s="89"/>
      <c r="J10" s="90"/>
      <c r="K10" s="7"/>
    </row>
    <row r="11" spans="2:11" x14ac:dyDescent="0.25">
      <c r="B11" s="87"/>
      <c r="C11" s="88"/>
      <c r="D11" s="89" t="s">
        <v>9</v>
      </c>
      <c r="E11" s="89"/>
      <c r="F11" s="89"/>
      <c r="G11" s="89"/>
      <c r="H11" s="89"/>
      <c r="I11" s="89"/>
      <c r="J11" s="90"/>
      <c r="K11" s="7"/>
    </row>
    <row r="12" spans="2:11" x14ac:dyDescent="0.25">
      <c r="B12" s="87"/>
      <c r="C12" s="88"/>
      <c r="D12" s="89" t="s">
        <v>10</v>
      </c>
      <c r="E12" s="89"/>
      <c r="F12" s="89"/>
      <c r="G12" s="89"/>
      <c r="H12" s="89"/>
      <c r="I12" s="89"/>
      <c r="J12" s="90"/>
      <c r="K12" s="7"/>
    </row>
    <row r="13" spans="2:11" x14ac:dyDescent="0.25">
      <c r="B13" s="87"/>
      <c r="C13" s="88"/>
      <c r="D13" s="89" t="s">
        <v>11</v>
      </c>
      <c r="E13" s="89"/>
      <c r="F13" s="89"/>
      <c r="G13" s="89"/>
      <c r="H13" s="89"/>
      <c r="I13" s="89"/>
      <c r="J13" s="90"/>
      <c r="K13" s="7"/>
    </row>
    <row r="14" spans="2:11" x14ac:dyDescent="0.25">
      <c r="B14" s="87"/>
      <c r="C14" s="88"/>
      <c r="D14" s="89" t="s">
        <v>12</v>
      </c>
      <c r="E14" s="89"/>
      <c r="F14" s="89"/>
      <c r="G14" s="89"/>
      <c r="H14" s="89"/>
      <c r="I14" s="89"/>
      <c r="J14" s="90"/>
      <c r="K14" s="7"/>
    </row>
    <row r="15" spans="2:11" x14ac:dyDescent="0.25">
      <c r="B15" s="87"/>
      <c r="C15" s="88"/>
      <c r="D15" s="89" t="s">
        <v>13</v>
      </c>
      <c r="E15" s="89"/>
      <c r="F15" s="89"/>
      <c r="G15" s="89"/>
      <c r="H15" s="89"/>
      <c r="I15" s="89"/>
      <c r="J15" s="90"/>
      <c r="K15" s="7"/>
    </row>
    <row r="16" spans="2:11" x14ac:dyDescent="0.25">
      <c r="B16" s="87"/>
      <c r="C16" s="88"/>
      <c r="D16" s="89" t="s">
        <v>14</v>
      </c>
      <c r="E16" s="89"/>
      <c r="F16" s="89"/>
      <c r="G16" s="89"/>
      <c r="H16" s="89"/>
      <c r="I16" s="89"/>
      <c r="J16" s="90"/>
      <c r="K16" s="7"/>
    </row>
    <row r="17" spans="2:11" x14ac:dyDescent="0.25">
      <c r="B17" s="87"/>
      <c r="C17" s="88"/>
      <c r="D17" s="89" t="s">
        <v>15</v>
      </c>
      <c r="E17" s="89"/>
      <c r="F17" s="89"/>
      <c r="G17" s="89"/>
      <c r="H17" s="89"/>
      <c r="I17" s="89"/>
      <c r="J17" s="90"/>
      <c r="K17" s="7"/>
    </row>
    <row r="18" spans="2:11" x14ac:dyDescent="0.25">
      <c r="B18" s="87"/>
      <c r="C18" s="88"/>
      <c r="D18" s="89" t="s">
        <v>16</v>
      </c>
      <c r="E18" s="89"/>
      <c r="F18" s="89"/>
      <c r="G18" s="89"/>
      <c r="H18" s="89"/>
      <c r="I18" s="89"/>
      <c r="J18" s="90"/>
      <c r="K18" s="7"/>
    </row>
    <row r="19" spans="2:11" x14ac:dyDescent="0.25">
      <c r="B19" s="87"/>
      <c r="C19" s="88"/>
      <c r="D19" s="89" t="s">
        <v>64</v>
      </c>
      <c r="E19" s="89"/>
      <c r="F19" s="89"/>
      <c r="G19" s="89"/>
      <c r="H19" s="89"/>
      <c r="I19" s="89"/>
      <c r="J19" s="90"/>
      <c r="K19" s="7"/>
    </row>
    <row r="20" spans="2:11" x14ac:dyDescent="0.25">
      <c r="B20" s="87"/>
      <c r="C20" s="88"/>
      <c r="D20" s="89" t="s">
        <v>17</v>
      </c>
      <c r="E20" s="89"/>
      <c r="F20" s="89"/>
      <c r="G20" s="89"/>
      <c r="H20" s="89"/>
      <c r="I20" s="89"/>
      <c r="J20" s="90"/>
      <c r="K20" s="7"/>
    </row>
    <row r="21" spans="2:11" x14ac:dyDescent="0.25">
      <c r="B21" s="87"/>
      <c r="C21" s="88"/>
      <c r="D21" s="89" t="s">
        <v>18</v>
      </c>
      <c r="E21" s="89"/>
      <c r="F21" s="89"/>
      <c r="G21" s="89"/>
      <c r="H21" s="89"/>
      <c r="I21" s="89"/>
      <c r="J21" s="90"/>
      <c r="K21" s="7"/>
    </row>
    <row r="22" spans="2:11" x14ac:dyDescent="0.25">
      <c r="B22" s="87"/>
      <c r="C22" s="88"/>
      <c r="D22" s="89" t="s">
        <v>19</v>
      </c>
      <c r="E22" s="89"/>
      <c r="F22" s="89"/>
      <c r="G22" s="89"/>
      <c r="H22" s="89"/>
      <c r="I22" s="89"/>
      <c r="J22" s="90"/>
      <c r="K22" s="7"/>
    </row>
    <row r="23" spans="2:11" x14ac:dyDescent="0.25">
      <c r="B23" s="87"/>
      <c r="C23" s="88"/>
      <c r="D23" s="89" t="s">
        <v>20</v>
      </c>
      <c r="E23" s="89"/>
      <c r="F23" s="89"/>
      <c r="G23" s="89"/>
      <c r="H23" s="89"/>
      <c r="I23" s="89"/>
      <c r="J23" s="90"/>
      <c r="K23" s="7"/>
    </row>
    <row r="24" spans="2:11" x14ac:dyDescent="0.25">
      <c r="B24" s="87"/>
      <c r="C24" s="88"/>
      <c r="D24" s="89" t="s">
        <v>21</v>
      </c>
      <c r="E24" s="89"/>
      <c r="F24" s="89"/>
      <c r="G24" s="89"/>
      <c r="H24" s="89"/>
      <c r="I24" s="89"/>
      <c r="J24" s="90"/>
      <c r="K24" s="7"/>
    </row>
    <row r="25" spans="2:11" x14ac:dyDescent="0.25">
      <c r="B25" s="87"/>
      <c r="C25" s="88"/>
      <c r="D25" s="89" t="s">
        <v>22</v>
      </c>
      <c r="E25" s="89"/>
      <c r="F25" s="89"/>
      <c r="G25" s="89"/>
      <c r="H25" s="89"/>
      <c r="I25" s="89"/>
      <c r="J25" s="90"/>
      <c r="K25" s="7"/>
    </row>
    <row r="26" spans="2:11" x14ac:dyDescent="0.25">
      <c r="B26" s="87"/>
      <c r="C26" s="88"/>
      <c r="D26" s="89"/>
      <c r="E26" s="89"/>
      <c r="F26" s="89"/>
      <c r="G26" s="89"/>
      <c r="H26" s="89"/>
      <c r="I26" s="89"/>
      <c r="J26" s="90"/>
      <c r="K26" s="7"/>
    </row>
    <row r="27" spans="2:11" ht="15.75" thickBot="1" x14ac:dyDescent="0.3">
      <c r="B27" s="91"/>
      <c r="C27" s="92"/>
      <c r="D27" s="93"/>
      <c r="E27" s="93"/>
      <c r="F27" s="93"/>
      <c r="G27" s="93"/>
      <c r="H27" s="93"/>
      <c r="I27" s="93"/>
      <c r="J27" s="94"/>
      <c r="K27" s="7"/>
    </row>
    <row r="28" spans="2:11" ht="36.75" customHeight="1" thickBot="1" x14ac:dyDescent="0.3">
      <c r="B28" s="102" t="s">
        <v>88</v>
      </c>
      <c r="C28" s="103"/>
      <c r="D28" s="103"/>
      <c r="E28" s="103"/>
      <c r="F28" s="103"/>
      <c r="G28" s="103"/>
      <c r="H28" s="103"/>
      <c r="I28" s="103"/>
      <c r="J28" s="104"/>
    </row>
    <row r="29" spans="2:11" x14ac:dyDescent="0.25">
      <c r="B29" s="64" t="s">
        <v>30</v>
      </c>
      <c r="C29" s="63"/>
      <c r="D29" s="63"/>
      <c r="E29" s="63"/>
      <c r="F29" s="63"/>
      <c r="G29" s="63"/>
      <c r="H29" s="63"/>
      <c r="I29" s="63"/>
      <c r="J29" s="65"/>
    </row>
    <row r="30" spans="2:11" ht="15.75" thickBot="1" x14ac:dyDescent="0.3">
      <c r="B30" s="66" t="s">
        <v>35</v>
      </c>
      <c r="C30" s="108" t="s">
        <v>29</v>
      </c>
      <c r="D30" s="108"/>
      <c r="E30" s="108"/>
      <c r="F30" s="108"/>
      <c r="G30" s="108"/>
      <c r="H30" s="108"/>
      <c r="I30" s="108"/>
      <c r="J30" s="67"/>
    </row>
    <row r="31" spans="2:11" ht="15.75" thickBot="1" x14ac:dyDescent="0.3">
      <c r="B31" s="68" t="s">
        <v>34</v>
      </c>
      <c r="C31" s="110" t="s">
        <v>73</v>
      </c>
      <c r="D31" s="110"/>
      <c r="E31" s="110"/>
      <c r="F31" s="110"/>
      <c r="G31" s="110"/>
      <c r="H31" s="110"/>
      <c r="I31" s="110"/>
      <c r="J31" s="69">
        <v>21</v>
      </c>
    </row>
    <row r="32" spans="2:11" x14ac:dyDescent="0.25">
      <c r="B32" s="70" t="s">
        <v>32</v>
      </c>
      <c r="C32" s="62"/>
      <c r="D32" s="62"/>
      <c r="E32" s="62"/>
      <c r="F32" s="62"/>
      <c r="G32" s="62"/>
      <c r="H32" s="62"/>
      <c r="I32" s="62"/>
      <c r="J32" s="71"/>
    </row>
    <row r="33" spans="2:12" ht="15.75" thickBot="1" x14ac:dyDescent="0.3">
      <c r="B33" s="68" t="s">
        <v>36</v>
      </c>
      <c r="C33" s="111" t="s">
        <v>31</v>
      </c>
      <c r="D33" s="111"/>
      <c r="E33" s="111"/>
      <c r="F33" s="111"/>
      <c r="G33" s="111"/>
      <c r="H33" s="111"/>
      <c r="I33" s="111"/>
      <c r="J33" s="67"/>
    </row>
    <row r="34" spans="2:12" x14ac:dyDescent="0.25">
      <c r="B34" s="70" t="s">
        <v>33</v>
      </c>
      <c r="C34" s="62"/>
      <c r="D34" s="62"/>
      <c r="E34" s="62"/>
      <c r="F34" s="62"/>
      <c r="G34" s="62"/>
      <c r="H34" s="62"/>
      <c r="I34" s="62"/>
      <c r="J34" s="71"/>
    </row>
    <row r="35" spans="2:12" ht="34.5" customHeight="1" x14ac:dyDescent="0.25">
      <c r="B35" s="66" t="s">
        <v>37</v>
      </c>
      <c r="C35" s="108" t="s">
        <v>89</v>
      </c>
      <c r="D35" s="108"/>
      <c r="E35" s="108"/>
      <c r="F35" s="108"/>
      <c r="G35" s="108"/>
      <c r="H35" s="108"/>
      <c r="I35" s="108"/>
      <c r="J35" s="65"/>
    </row>
    <row r="36" spans="2:12" ht="60.75" customHeight="1" thickBot="1" x14ac:dyDescent="0.3">
      <c r="B36" s="66" t="s">
        <v>38</v>
      </c>
      <c r="C36" s="109" t="s">
        <v>90</v>
      </c>
      <c r="D36" s="109"/>
      <c r="E36" s="109"/>
      <c r="F36" s="109"/>
      <c r="G36" s="109"/>
      <c r="H36" s="109"/>
      <c r="I36" s="109"/>
      <c r="J36" s="67"/>
      <c r="K36" s="9"/>
      <c r="L36" s="9"/>
    </row>
    <row r="37" spans="2:12" ht="15.75" thickBot="1" x14ac:dyDescent="0.3">
      <c r="B37" s="66" t="s">
        <v>39</v>
      </c>
      <c r="C37" s="108" t="s">
        <v>92</v>
      </c>
      <c r="D37" s="108"/>
      <c r="E37" s="108"/>
      <c r="F37" s="108"/>
      <c r="G37" s="108"/>
      <c r="H37" s="108"/>
      <c r="I37" s="108"/>
      <c r="J37" s="72">
        <v>1359</v>
      </c>
    </row>
    <row r="38" spans="2:12" ht="9" customHeight="1" thickBot="1" x14ac:dyDescent="0.3">
      <c r="B38" s="68"/>
      <c r="C38" s="63"/>
      <c r="D38" s="63"/>
      <c r="E38" s="63"/>
      <c r="F38" s="63"/>
      <c r="G38" s="63"/>
      <c r="H38" s="63"/>
      <c r="I38" s="63"/>
      <c r="J38" s="67"/>
    </row>
    <row r="39" spans="2:12" x14ac:dyDescent="0.25">
      <c r="B39" s="70" t="s">
        <v>41</v>
      </c>
      <c r="C39" s="62"/>
      <c r="D39" s="62"/>
      <c r="E39" s="62"/>
      <c r="F39" s="62"/>
      <c r="G39" s="62"/>
      <c r="H39" s="62"/>
      <c r="I39" s="62"/>
      <c r="J39" s="71"/>
    </row>
    <row r="40" spans="2:12" ht="21" customHeight="1" x14ac:dyDescent="0.25">
      <c r="B40" s="73"/>
      <c r="C40" s="108" t="s">
        <v>40</v>
      </c>
      <c r="D40" s="108"/>
      <c r="E40" s="108"/>
      <c r="F40" s="108"/>
      <c r="G40" s="108"/>
      <c r="H40" s="108"/>
      <c r="I40" s="108"/>
      <c r="J40" s="65"/>
    </row>
    <row r="41" spans="2:12" ht="31.5" customHeight="1" x14ac:dyDescent="0.25">
      <c r="B41" s="66" t="s">
        <v>42</v>
      </c>
      <c r="C41" s="108" t="s">
        <v>94</v>
      </c>
      <c r="D41" s="108"/>
      <c r="E41" s="108"/>
      <c r="F41" s="108"/>
      <c r="G41" s="108"/>
      <c r="H41" s="108"/>
      <c r="I41" s="108"/>
      <c r="J41" s="65"/>
    </row>
    <row r="42" spans="2:12" ht="52.5" customHeight="1" thickBot="1" x14ac:dyDescent="0.3">
      <c r="B42" s="66" t="s">
        <v>43</v>
      </c>
      <c r="C42" s="109" t="s">
        <v>68</v>
      </c>
      <c r="D42" s="109"/>
      <c r="E42" s="109"/>
      <c r="F42" s="109"/>
      <c r="G42" s="109"/>
      <c r="H42" s="109"/>
      <c r="I42" s="109"/>
      <c r="J42" s="67"/>
      <c r="K42" s="9"/>
      <c r="L42" s="9"/>
    </row>
    <row r="43" spans="2:12" ht="15.75" thickBot="1" x14ac:dyDescent="0.3">
      <c r="B43" s="66" t="s">
        <v>44</v>
      </c>
      <c r="C43" s="108" t="s">
        <v>74</v>
      </c>
      <c r="D43" s="108"/>
      <c r="E43" s="108"/>
      <c r="F43" s="108"/>
      <c r="G43" s="108"/>
      <c r="H43" s="108"/>
      <c r="I43" s="108"/>
      <c r="J43" s="74">
        <v>95</v>
      </c>
    </row>
    <row r="44" spans="2:12" ht="15.75" customHeight="1" thickBot="1" x14ac:dyDescent="0.3">
      <c r="B44" s="66" t="s">
        <v>48</v>
      </c>
      <c r="C44" s="108" t="s">
        <v>75</v>
      </c>
      <c r="D44" s="108"/>
      <c r="E44" s="108"/>
      <c r="F44" s="108"/>
      <c r="G44" s="108"/>
      <c r="H44" s="108"/>
      <c r="I44" s="108"/>
      <c r="J44" s="74">
        <v>23.75</v>
      </c>
    </row>
    <row r="45" spans="2:12" ht="9.75" customHeight="1" thickBot="1" x14ac:dyDescent="0.3">
      <c r="B45" s="68"/>
      <c r="C45" s="110"/>
      <c r="D45" s="110"/>
      <c r="E45" s="110"/>
      <c r="F45" s="110"/>
      <c r="G45" s="110"/>
      <c r="H45" s="110"/>
      <c r="I45" s="110"/>
      <c r="J45" s="67"/>
    </row>
    <row r="46" spans="2:12" ht="25.5" customHeight="1" x14ac:dyDescent="0.25">
      <c r="B46" s="70" t="s">
        <v>45</v>
      </c>
      <c r="C46" s="62"/>
      <c r="D46" s="62"/>
      <c r="E46" s="62"/>
      <c r="F46" s="62"/>
      <c r="G46" s="62"/>
      <c r="H46" s="62"/>
      <c r="I46" s="62"/>
      <c r="J46" s="71"/>
    </row>
    <row r="47" spans="2:12" ht="23.25" customHeight="1" x14ac:dyDescent="0.25">
      <c r="B47" s="73"/>
      <c r="C47" s="108" t="s">
        <v>40</v>
      </c>
      <c r="D47" s="108"/>
      <c r="E47" s="108"/>
      <c r="F47" s="108"/>
      <c r="G47" s="108"/>
      <c r="H47" s="108"/>
      <c r="I47" s="108"/>
      <c r="J47" s="65"/>
    </row>
    <row r="48" spans="2:12" ht="33.75" customHeight="1" x14ac:dyDescent="0.25">
      <c r="B48" s="66" t="s">
        <v>46</v>
      </c>
      <c r="C48" s="108" t="s">
        <v>96</v>
      </c>
      <c r="D48" s="108"/>
      <c r="E48" s="108"/>
      <c r="F48" s="108"/>
      <c r="G48" s="108"/>
      <c r="H48" s="108"/>
      <c r="I48" s="108"/>
      <c r="J48" s="65"/>
      <c r="K48" s="8"/>
      <c r="L48" s="8"/>
    </row>
    <row r="49" spans="2:10" ht="43.5" customHeight="1" thickBot="1" x14ac:dyDescent="0.3">
      <c r="B49" s="66" t="s">
        <v>47</v>
      </c>
      <c r="C49" s="109" t="s">
        <v>65</v>
      </c>
      <c r="D49" s="109"/>
      <c r="E49" s="109"/>
      <c r="F49" s="109"/>
      <c r="G49" s="109"/>
      <c r="H49" s="109"/>
      <c r="I49" s="109"/>
      <c r="J49" s="67"/>
    </row>
    <row r="50" spans="2:10" ht="15.75" thickBot="1" x14ac:dyDescent="0.3">
      <c r="B50" s="66" t="s">
        <v>49</v>
      </c>
      <c r="C50" s="108" t="s">
        <v>97</v>
      </c>
      <c r="D50" s="108"/>
      <c r="E50" s="108"/>
      <c r="F50" s="108"/>
      <c r="G50" s="108"/>
      <c r="H50" s="108"/>
      <c r="I50" s="108"/>
      <c r="J50" s="75">
        <v>7.0000000000000007E-2</v>
      </c>
    </row>
    <row r="51" spans="2:10" ht="9" customHeight="1" thickBot="1" x14ac:dyDescent="0.3">
      <c r="B51" s="68"/>
      <c r="C51" s="110"/>
      <c r="D51" s="110"/>
      <c r="E51" s="110"/>
      <c r="F51" s="110"/>
      <c r="G51" s="110"/>
      <c r="H51" s="110"/>
      <c r="I51" s="110"/>
      <c r="J51" s="67"/>
    </row>
    <row r="52" spans="2:10" ht="25.5" customHeight="1" x14ac:dyDescent="0.25">
      <c r="B52" s="70" t="s">
        <v>50</v>
      </c>
      <c r="C52" s="62"/>
      <c r="D52" s="62"/>
      <c r="E52" s="62"/>
      <c r="F52" s="62"/>
      <c r="G52" s="62"/>
      <c r="H52" s="62"/>
      <c r="I52" s="62"/>
      <c r="J52" s="71"/>
    </row>
    <row r="53" spans="2:10" ht="19.5" customHeight="1" x14ac:dyDescent="0.25">
      <c r="B53" s="73"/>
      <c r="C53" s="108" t="s">
        <v>40</v>
      </c>
      <c r="D53" s="108"/>
      <c r="E53" s="108"/>
      <c r="F53" s="108"/>
      <c r="G53" s="108"/>
      <c r="H53" s="108"/>
      <c r="I53" s="108"/>
      <c r="J53" s="65"/>
    </row>
    <row r="54" spans="2:10" ht="36.75" customHeight="1" thickBot="1" x14ac:dyDescent="0.3">
      <c r="B54" s="66" t="s">
        <v>51</v>
      </c>
      <c r="C54" s="108" t="s">
        <v>100</v>
      </c>
      <c r="D54" s="108"/>
      <c r="E54" s="108"/>
      <c r="F54" s="108"/>
      <c r="G54" s="108"/>
      <c r="H54" s="108"/>
      <c r="I54" s="108"/>
      <c r="J54" s="65"/>
    </row>
    <row r="55" spans="2:10" ht="15.75" thickBot="1" x14ac:dyDescent="0.3">
      <c r="B55" s="66" t="s">
        <v>52</v>
      </c>
      <c r="C55" s="108" t="s">
        <v>76</v>
      </c>
      <c r="D55" s="108"/>
      <c r="E55" s="108"/>
      <c r="F55" s="108"/>
      <c r="G55" s="108"/>
      <c r="H55" s="108"/>
      <c r="I55" s="108"/>
      <c r="J55" s="76">
        <v>22</v>
      </c>
    </row>
    <row r="56" spans="2:10" ht="51.75" customHeight="1" x14ac:dyDescent="0.25">
      <c r="B56" s="66" t="s">
        <v>53</v>
      </c>
      <c r="C56" s="108" t="s">
        <v>69</v>
      </c>
      <c r="D56" s="108"/>
      <c r="E56" s="108"/>
      <c r="F56" s="108"/>
      <c r="G56" s="108"/>
      <c r="H56" s="108"/>
      <c r="I56" s="108"/>
      <c r="J56" s="65"/>
    </row>
    <row r="57" spans="2:10" ht="21" customHeight="1" thickBot="1" x14ac:dyDescent="0.3">
      <c r="B57" s="66" t="s">
        <v>54</v>
      </c>
      <c r="C57" s="108" t="s">
        <v>101</v>
      </c>
      <c r="D57" s="108"/>
      <c r="E57" s="108"/>
      <c r="F57" s="108"/>
      <c r="G57" s="108"/>
      <c r="H57" s="108"/>
      <c r="I57" s="108"/>
      <c r="J57" s="67"/>
    </row>
    <row r="58" spans="2:10" ht="15.75" thickBot="1" x14ac:dyDescent="0.3">
      <c r="B58" s="66" t="s">
        <v>55</v>
      </c>
      <c r="C58" s="108" t="s">
        <v>102</v>
      </c>
      <c r="D58" s="108"/>
      <c r="E58" s="108"/>
      <c r="F58" s="108"/>
      <c r="G58" s="108"/>
      <c r="H58" s="108"/>
      <c r="I58" s="108"/>
      <c r="J58" s="77" t="s">
        <v>182</v>
      </c>
    </row>
    <row r="59" spans="2:10" ht="9.75" customHeight="1" thickBot="1" x14ac:dyDescent="0.3">
      <c r="B59" s="68"/>
      <c r="C59" s="110"/>
      <c r="D59" s="110"/>
      <c r="E59" s="110"/>
      <c r="F59" s="110"/>
      <c r="G59" s="110"/>
      <c r="H59" s="110"/>
      <c r="I59" s="110"/>
      <c r="J59" s="67"/>
    </row>
    <row r="60" spans="2:10" x14ac:dyDescent="0.25">
      <c r="B60" s="70" t="s">
        <v>56</v>
      </c>
      <c r="C60" s="62"/>
      <c r="D60" s="62"/>
      <c r="E60" s="62"/>
      <c r="F60" s="62"/>
      <c r="G60" s="62"/>
      <c r="H60" s="62"/>
      <c r="I60" s="62"/>
      <c r="J60" s="71"/>
    </row>
    <row r="61" spans="2:10" x14ac:dyDescent="0.25">
      <c r="B61" s="73"/>
      <c r="C61" s="108" t="s">
        <v>40</v>
      </c>
      <c r="D61" s="108"/>
      <c r="E61" s="108"/>
      <c r="F61" s="108"/>
      <c r="G61" s="108"/>
      <c r="H61" s="108"/>
      <c r="I61" s="108"/>
      <c r="J61" s="65"/>
    </row>
    <row r="62" spans="2:10" ht="42" customHeight="1" thickBot="1" x14ac:dyDescent="0.3">
      <c r="B62" s="66" t="s">
        <v>57</v>
      </c>
      <c r="C62" s="108" t="s">
        <v>80</v>
      </c>
      <c r="D62" s="108"/>
      <c r="E62" s="108"/>
      <c r="F62" s="108"/>
      <c r="G62" s="108"/>
      <c r="H62" s="108"/>
      <c r="I62" s="108"/>
      <c r="J62" s="65"/>
    </row>
    <row r="63" spans="2:10" ht="42" customHeight="1" thickBot="1" x14ac:dyDescent="0.3">
      <c r="B63" s="66" t="s">
        <v>58</v>
      </c>
      <c r="C63" s="108" t="s">
        <v>103</v>
      </c>
      <c r="D63" s="108"/>
      <c r="E63" s="108"/>
      <c r="F63" s="108"/>
      <c r="G63" s="108"/>
      <c r="H63" s="108"/>
      <c r="I63" s="108"/>
      <c r="J63" s="76"/>
    </row>
    <row r="64" spans="2:10" ht="34.5" customHeight="1" thickBot="1" x14ac:dyDescent="0.3">
      <c r="B64" s="66" t="s">
        <v>70</v>
      </c>
      <c r="C64" s="108" t="s">
        <v>72</v>
      </c>
      <c r="D64" s="108"/>
      <c r="E64" s="108"/>
      <c r="F64" s="108"/>
      <c r="G64" s="108"/>
      <c r="H64" s="108"/>
      <c r="I64" s="108"/>
      <c r="J64" s="67"/>
    </row>
    <row r="65" spans="2:13" ht="42.75" customHeight="1" thickBot="1" x14ac:dyDescent="0.3">
      <c r="B65" s="66" t="s">
        <v>71</v>
      </c>
      <c r="C65" s="113" t="s">
        <v>104</v>
      </c>
      <c r="D65" s="108"/>
      <c r="E65" s="108"/>
      <c r="F65" s="108"/>
      <c r="G65" s="108"/>
      <c r="H65" s="108"/>
      <c r="I65" s="108"/>
      <c r="J65" s="77"/>
    </row>
    <row r="66" spans="2:13" ht="34.5" customHeight="1" thickBot="1" x14ac:dyDescent="0.3">
      <c r="B66" s="78" t="s">
        <v>77</v>
      </c>
      <c r="C66" s="112" t="s">
        <v>105</v>
      </c>
      <c r="D66" s="112"/>
      <c r="E66" s="112"/>
      <c r="F66" s="112"/>
      <c r="G66" s="112"/>
      <c r="H66" s="112"/>
      <c r="I66" s="112"/>
      <c r="J66" s="79"/>
      <c r="L66" s="2"/>
      <c r="M66" s="3"/>
    </row>
    <row r="67" spans="2:13" x14ac:dyDescent="0.25">
      <c r="L67" s="2"/>
      <c r="M67" s="3"/>
    </row>
  </sheetData>
  <mergeCells count="32">
    <mergeCell ref="C66:I66"/>
    <mergeCell ref="C57:I57"/>
    <mergeCell ref="C58:I58"/>
    <mergeCell ref="C55:I55"/>
    <mergeCell ref="C59:I59"/>
    <mergeCell ref="C62:I62"/>
    <mergeCell ref="C65:I65"/>
    <mergeCell ref="C64:I64"/>
    <mergeCell ref="C61:I61"/>
    <mergeCell ref="C63:I63"/>
    <mergeCell ref="C54:I54"/>
    <mergeCell ref="C56:I56"/>
    <mergeCell ref="C45:I45"/>
    <mergeCell ref="C51:I51"/>
    <mergeCell ref="C43:I43"/>
    <mergeCell ref="C44:I44"/>
    <mergeCell ref="C48:I48"/>
    <mergeCell ref="C49:I49"/>
    <mergeCell ref="C50:I50"/>
    <mergeCell ref="C47:I47"/>
    <mergeCell ref="C53:I53"/>
    <mergeCell ref="C42:I42"/>
    <mergeCell ref="C30:I30"/>
    <mergeCell ref="C31:I31"/>
    <mergeCell ref="C33:I33"/>
    <mergeCell ref="C35:I35"/>
    <mergeCell ref="C36:I36"/>
    <mergeCell ref="B28:J28"/>
    <mergeCell ref="B2:J2"/>
    <mergeCell ref="C37:I37"/>
    <mergeCell ref="C40:I40"/>
    <mergeCell ref="C41:I41"/>
  </mergeCells>
  <pageMargins left="0.7" right="0.7" top="0.75" bottom="0.75" header="0.3" footer="0.3"/>
  <pageSetup orientation="portrait" verticalDpi="597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F617-B4D0-4C8F-AA4D-9F7E53E39A82}">
  <sheetPr codeName="Hoja2"/>
  <dimension ref="B1:N25"/>
  <sheetViews>
    <sheetView zoomScaleNormal="100" workbookViewId="0">
      <selection activeCell="J58" sqref="J58"/>
    </sheetView>
  </sheetViews>
  <sheetFormatPr baseColWidth="10" defaultRowHeight="15" x14ac:dyDescent="0.25"/>
  <cols>
    <col min="1" max="1" width="9.140625" customWidth="1"/>
    <col min="2" max="2" width="15" customWidth="1"/>
    <col min="3" max="3" width="14.42578125" customWidth="1"/>
    <col min="5" max="5" width="11.85546875" bestFit="1" customWidth="1"/>
    <col min="10" max="10" width="13.140625" customWidth="1"/>
  </cols>
  <sheetData>
    <row r="1" spans="3:14" x14ac:dyDescent="0.25">
      <c r="C1" s="126" t="s">
        <v>0</v>
      </c>
      <c r="D1" s="127" t="s">
        <v>122</v>
      </c>
      <c r="E1" s="127" t="s">
        <v>123</v>
      </c>
      <c r="F1" s="127" t="s">
        <v>124</v>
      </c>
      <c r="G1" s="127" t="s">
        <v>125</v>
      </c>
      <c r="H1" s="127" t="s">
        <v>126</v>
      </c>
      <c r="I1" s="127" t="s">
        <v>1</v>
      </c>
      <c r="J1" s="128" t="s">
        <v>127</v>
      </c>
    </row>
    <row r="2" spans="3:14" x14ac:dyDescent="0.25">
      <c r="C2" s="124">
        <v>1303</v>
      </c>
      <c r="D2" s="123" t="s">
        <v>141</v>
      </c>
      <c r="E2" s="123" t="s">
        <v>142</v>
      </c>
      <c r="F2" s="123" t="s">
        <v>143</v>
      </c>
      <c r="G2" s="123" t="s">
        <v>131</v>
      </c>
      <c r="H2" s="123" t="s">
        <v>144</v>
      </c>
      <c r="I2" s="123">
        <v>5600000</v>
      </c>
      <c r="J2" s="125">
        <v>15</v>
      </c>
    </row>
    <row r="3" spans="3:14" x14ac:dyDescent="0.25">
      <c r="C3" s="124">
        <v>1725</v>
      </c>
      <c r="D3" s="123" t="s">
        <v>163</v>
      </c>
      <c r="E3" s="123" t="s">
        <v>164</v>
      </c>
      <c r="F3" s="123" t="s">
        <v>154</v>
      </c>
      <c r="G3" s="123" t="s">
        <v>135</v>
      </c>
      <c r="H3" s="123" t="s">
        <v>144</v>
      </c>
      <c r="I3" s="123">
        <v>5600000</v>
      </c>
      <c r="J3" s="125">
        <v>23</v>
      </c>
    </row>
    <row r="4" spans="3:14" x14ac:dyDescent="0.25">
      <c r="C4" s="124">
        <v>1815</v>
      </c>
      <c r="D4" s="123" t="s">
        <v>169</v>
      </c>
      <c r="E4" s="123" t="s">
        <v>170</v>
      </c>
      <c r="F4" s="123" t="s">
        <v>130</v>
      </c>
      <c r="G4" s="123" t="s">
        <v>131</v>
      </c>
      <c r="H4" s="123" t="s">
        <v>144</v>
      </c>
      <c r="I4" s="123">
        <v>5600000</v>
      </c>
      <c r="J4" s="125">
        <v>22</v>
      </c>
    </row>
    <row r="5" spans="3:14" x14ac:dyDescent="0.25">
      <c r="C5" s="124">
        <v>1908</v>
      </c>
      <c r="D5" s="123" t="s">
        <v>173</v>
      </c>
      <c r="E5" s="123" t="s">
        <v>174</v>
      </c>
      <c r="F5" s="123" t="s">
        <v>143</v>
      </c>
      <c r="G5" s="123" t="s">
        <v>135</v>
      </c>
      <c r="H5" s="123" t="s">
        <v>144</v>
      </c>
      <c r="I5" s="123">
        <v>5600000</v>
      </c>
      <c r="J5" s="125">
        <v>28</v>
      </c>
    </row>
    <row r="6" spans="3:14" x14ac:dyDescent="0.25">
      <c r="C6" s="124">
        <v>1950</v>
      </c>
      <c r="D6" s="123" t="s">
        <v>177</v>
      </c>
      <c r="E6" s="123" t="s">
        <v>178</v>
      </c>
      <c r="F6" s="123" t="s">
        <v>130</v>
      </c>
      <c r="G6" s="123" t="s">
        <v>149</v>
      </c>
      <c r="H6" s="123" t="s">
        <v>132</v>
      </c>
      <c r="I6" s="123">
        <v>4900000</v>
      </c>
      <c r="J6" s="125">
        <v>22</v>
      </c>
    </row>
    <row r="7" spans="3:14" x14ac:dyDescent="0.25">
      <c r="C7" s="124">
        <v>1369</v>
      </c>
      <c r="D7" s="123" t="s">
        <v>145</v>
      </c>
      <c r="E7" s="123" t="s">
        <v>150</v>
      </c>
      <c r="F7" s="123" t="s">
        <v>143</v>
      </c>
      <c r="G7" s="123" t="s">
        <v>151</v>
      </c>
      <c r="H7" s="123" t="s">
        <v>144</v>
      </c>
      <c r="I7" s="123">
        <v>4200000</v>
      </c>
      <c r="J7" s="125">
        <v>22</v>
      </c>
      <c r="N7" t="s">
        <v>183</v>
      </c>
    </row>
    <row r="8" spans="3:14" x14ac:dyDescent="0.25">
      <c r="C8" s="124">
        <v>1068</v>
      </c>
      <c r="D8" s="123" t="s">
        <v>128</v>
      </c>
      <c r="E8" s="123" t="s">
        <v>129</v>
      </c>
      <c r="F8" s="123" t="s">
        <v>130</v>
      </c>
      <c r="G8" s="123" t="s">
        <v>131</v>
      </c>
      <c r="H8" s="123" t="s">
        <v>132</v>
      </c>
      <c r="I8" s="123">
        <v>3200000</v>
      </c>
      <c r="J8" s="125">
        <v>19</v>
      </c>
      <c r="N8">
        <f>+MATCH(1359,Tabla10[ID empleado],0)</f>
        <v>7</v>
      </c>
    </row>
    <row r="9" spans="3:14" x14ac:dyDescent="0.25">
      <c r="C9" s="124">
        <v>1333</v>
      </c>
      <c r="D9" s="123" t="s">
        <v>145</v>
      </c>
      <c r="E9" s="123" t="s">
        <v>146</v>
      </c>
      <c r="F9" s="123" t="s">
        <v>143</v>
      </c>
      <c r="G9" s="123" t="s">
        <v>131</v>
      </c>
      <c r="H9" s="123" t="s">
        <v>132</v>
      </c>
      <c r="I9" s="123">
        <v>3200000</v>
      </c>
      <c r="J9" s="125">
        <v>28</v>
      </c>
    </row>
    <row r="10" spans="3:14" x14ac:dyDescent="0.25">
      <c r="C10" s="124">
        <v>1529</v>
      </c>
      <c r="D10" s="123" t="s">
        <v>155</v>
      </c>
      <c r="E10" s="123" t="s">
        <v>156</v>
      </c>
      <c r="F10" s="123" t="s">
        <v>143</v>
      </c>
      <c r="G10" s="123" t="s">
        <v>151</v>
      </c>
      <c r="H10" s="123" t="s">
        <v>132</v>
      </c>
      <c r="I10" s="123">
        <v>3200000</v>
      </c>
      <c r="J10" s="125">
        <v>20</v>
      </c>
    </row>
    <row r="11" spans="3:14" x14ac:dyDescent="0.25">
      <c r="C11" s="124">
        <v>1518</v>
      </c>
      <c r="D11" s="123" t="s">
        <v>152</v>
      </c>
      <c r="E11" s="123" t="s">
        <v>153</v>
      </c>
      <c r="F11" s="123" t="s">
        <v>154</v>
      </c>
      <c r="G11" s="123" t="s">
        <v>131</v>
      </c>
      <c r="H11" s="123" t="s">
        <v>132</v>
      </c>
      <c r="I11" s="123">
        <v>2600000</v>
      </c>
      <c r="J11" s="125">
        <v>27</v>
      </c>
    </row>
    <row r="12" spans="3:14" x14ac:dyDescent="0.25">
      <c r="C12" s="124">
        <v>1907</v>
      </c>
      <c r="D12" s="123" t="s">
        <v>171</v>
      </c>
      <c r="E12" s="123" t="s">
        <v>172</v>
      </c>
      <c r="F12" s="123" t="s">
        <v>130</v>
      </c>
      <c r="G12" s="123" t="s">
        <v>149</v>
      </c>
      <c r="H12" s="123" t="s">
        <v>144</v>
      </c>
      <c r="I12" s="123">
        <v>2600000</v>
      </c>
      <c r="J12" s="125">
        <v>17</v>
      </c>
    </row>
    <row r="13" spans="3:14" x14ac:dyDescent="0.25">
      <c r="C13" s="124">
        <v>1656</v>
      </c>
      <c r="D13" s="123" t="s">
        <v>159</v>
      </c>
      <c r="E13" s="123" t="s">
        <v>160</v>
      </c>
      <c r="F13" s="123" t="s">
        <v>143</v>
      </c>
      <c r="G13" s="123" t="s">
        <v>149</v>
      </c>
      <c r="H13" s="123" t="s">
        <v>144</v>
      </c>
      <c r="I13" s="123">
        <v>2500000</v>
      </c>
      <c r="J13" s="125">
        <v>18</v>
      </c>
    </row>
    <row r="14" spans="3:14" x14ac:dyDescent="0.25">
      <c r="C14" s="124">
        <v>1359</v>
      </c>
      <c r="D14" s="123" t="s">
        <v>147</v>
      </c>
      <c r="E14" s="123" t="s">
        <v>148</v>
      </c>
      <c r="F14" s="123" t="s">
        <v>130</v>
      </c>
      <c r="G14" s="123" t="s">
        <v>149</v>
      </c>
      <c r="H14" s="123" t="s">
        <v>132</v>
      </c>
      <c r="I14" s="123">
        <v>2300000</v>
      </c>
      <c r="J14" s="125">
        <v>27</v>
      </c>
    </row>
    <row r="15" spans="3:14" x14ac:dyDescent="0.25">
      <c r="C15" s="124">
        <v>1923</v>
      </c>
      <c r="D15" s="123" t="s">
        <v>175</v>
      </c>
      <c r="E15" s="123" t="s">
        <v>176</v>
      </c>
      <c r="F15" s="123" t="s">
        <v>130</v>
      </c>
      <c r="G15" s="123" t="s">
        <v>149</v>
      </c>
      <c r="H15" s="123" t="s">
        <v>132</v>
      </c>
      <c r="I15" s="123">
        <v>2300000</v>
      </c>
      <c r="J15" s="125">
        <v>30</v>
      </c>
    </row>
    <row r="16" spans="3:14" x14ac:dyDescent="0.25">
      <c r="C16" s="124">
        <v>1792</v>
      </c>
      <c r="D16" s="123" t="s">
        <v>165</v>
      </c>
      <c r="E16" s="123" t="s">
        <v>166</v>
      </c>
      <c r="F16" s="123" t="s">
        <v>143</v>
      </c>
      <c r="G16" s="123" t="s">
        <v>149</v>
      </c>
      <c r="H16" s="123" t="s">
        <v>136</v>
      </c>
      <c r="I16" s="123">
        <v>2000000</v>
      </c>
      <c r="J16" s="125">
        <v>23</v>
      </c>
    </row>
    <row r="17" spans="2:10" x14ac:dyDescent="0.25">
      <c r="C17" s="124">
        <v>1293</v>
      </c>
      <c r="D17" s="123" t="s">
        <v>139</v>
      </c>
      <c r="E17" s="123" t="s">
        <v>140</v>
      </c>
      <c r="F17" s="123" t="s">
        <v>130</v>
      </c>
      <c r="G17" s="123" t="s">
        <v>131</v>
      </c>
      <c r="H17" s="123" t="s">
        <v>136</v>
      </c>
      <c r="I17" s="123">
        <v>1700000</v>
      </c>
      <c r="J17" s="125">
        <v>27</v>
      </c>
    </row>
    <row r="18" spans="2:10" x14ac:dyDescent="0.25">
      <c r="C18" s="124">
        <v>1530</v>
      </c>
      <c r="D18" s="123" t="s">
        <v>157</v>
      </c>
      <c r="E18" s="123" t="s">
        <v>158</v>
      </c>
      <c r="F18" s="123" t="s">
        <v>143</v>
      </c>
      <c r="G18" s="123" t="s">
        <v>135</v>
      </c>
      <c r="H18" s="123" t="s">
        <v>132</v>
      </c>
      <c r="I18" s="123">
        <v>1460000</v>
      </c>
      <c r="J18" s="125">
        <v>24</v>
      </c>
    </row>
    <row r="19" spans="2:10" x14ac:dyDescent="0.25">
      <c r="C19" s="124">
        <v>1153</v>
      </c>
      <c r="D19" s="123" t="s">
        <v>133</v>
      </c>
      <c r="E19" s="123" t="s">
        <v>134</v>
      </c>
      <c r="F19" s="123" t="s">
        <v>130</v>
      </c>
      <c r="G19" s="123" t="s">
        <v>135</v>
      </c>
      <c r="H19" s="123" t="s">
        <v>136</v>
      </c>
      <c r="I19" s="123">
        <v>1350000</v>
      </c>
      <c r="J19" s="125">
        <v>16</v>
      </c>
    </row>
    <row r="20" spans="2:10" x14ac:dyDescent="0.25">
      <c r="C20" s="124">
        <v>1290</v>
      </c>
      <c r="D20" s="123" t="s">
        <v>137</v>
      </c>
      <c r="E20" s="123" t="s">
        <v>138</v>
      </c>
      <c r="F20" s="123" t="s">
        <v>130</v>
      </c>
      <c r="G20" s="123" t="s">
        <v>135</v>
      </c>
      <c r="H20" s="123" t="s">
        <v>132</v>
      </c>
      <c r="I20" s="123">
        <v>1350000</v>
      </c>
      <c r="J20" s="125">
        <v>15</v>
      </c>
    </row>
    <row r="21" spans="2:10" x14ac:dyDescent="0.25">
      <c r="C21" s="124">
        <v>1673</v>
      </c>
      <c r="D21" s="123" t="s">
        <v>161</v>
      </c>
      <c r="E21" s="123" t="s">
        <v>162</v>
      </c>
      <c r="F21" s="123" t="s">
        <v>154</v>
      </c>
      <c r="G21" s="123" t="s">
        <v>131</v>
      </c>
      <c r="H21" s="123" t="s">
        <v>132</v>
      </c>
      <c r="I21" s="123">
        <v>1350000</v>
      </c>
      <c r="J21" s="125">
        <v>16</v>
      </c>
    </row>
    <row r="22" spans="2:10" x14ac:dyDescent="0.25">
      <c r="C22" s="129">
        <v>1793</v>
      </c>
      <c r="D22" s="130" t="s">
        <v>167</v>
      </c>
      <c r="E22" s="130" t="s">
        <v>168</v>
      </c>
      <c r="F22" s="130" t="s">
        <v>154</v>
      </c>
      <c r="G22" s="130" t="s">
        <v>135</v>
      </c>
      <c r="H22" s="130" t="s">
        <v>132</v>
      </c>
      <c r="I22" s="130">
        <v>1350000</v>
      </c>
      <c r="J22" s="131">
        <v>25</v>
      </c>
    </row>
    <row r="25" spans="2:10" x14ac:dyDescent="0.25">
      <c r="B25" t="s">
        <v>179</v>
      </c>
      <c r="C25" s="122">
        <f>+COUNT(C2:C22)</f>
        <v>21</v>
      </c>
    </row>
  </sheetData>
  <phoneticPr fontId="20" type="noConversion"/>
  <pageMargins left="0.7" right="0.7" top="0.75" bottom="0.75" header="0.3" footer="0.3"/>
  <pageSetup orientation="portrait" verticalDpi="597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76BD-49FB-4DB0-BFE6-D5C2E7E12123}">
  <sheetPr codeName="Hoja3"/>
  <dimension ref="C3:J12"/>
  <sheetViews>
    <sheetView zoomScaleNormal="100" workbookViewId="0">
      <selection activeCell="J58" sqref="J58"/>
    </sheetView>
  </sheetViews>
  <sheetFormatPr baseColWidth="10" defaultRowHeight="15" x14ac:dyDescent="0.25"/>
  <cols>
    <col min="1" max="1" width="13.42578125" customWidth="1"/>
    <col min="7" max="7" width="11.5703125" bestFit="1" customWidth="1"/>
    <col min="8" max="8" width="12.7109375" customWidth="1"/>
  </cols>
  <sheetData>
    <row r="3" spans="3:10" x14ac:dyDescent="0.25">
      <c r="C3" s="132" t="s">
        <v>0</v>
      </c>
      <c r="D3" s="133" t="s">
        <v>122</v>
      </c>
      <c r="E3" s="133" t="s">
        <v>123</v>
      </c>
      <c r="F3" s="133" t="s">
        <v>124</v>
      </c>
      <c r="G3" s="133" t="s">
        <v>125</v>
      </c>
      <c r="H3" s="133" t="s">
        <v>126</v>
      </c>
      <c r="I3" s="133" t="s">
        <v>1</v>
      </c>
      <c r="J3" s="133" t="s">
        <v>127</v>
      </c>
    </row>
    <row r="4" spans="3:10" x14ac:dyDescent="0.25">
      <c r="C4" s="136">
        <v>1815</v>
      </c>
      <c r="D4" s="137" t="s">
        <v>169</v>
      </c>
      <c r="E4" s="137" t="s">
        <v>170</v>
      </c>
      <c r="F4" s="137" t="s">
        <v>130</v>
      </c>
      <c r="G4" s="137" t="s">
        <v>131</v>
      </c>
      <c r="H4" s="137" t="s">
        <v>144</v>
      </c>
      <c r="I4" s="137">
        <v>5600000</v>
      </c>
      <c r="J4" s="137">
        <v>22</v>
      </c>
    </row>
    <row r="5" spans="3:10" x14ac:dyDescent="0.25">
      <c r="C5" s="134">
        <v>1950</v>
      </c>
      <c r="D5" s="135" t="s">
        <v>177</v>
      </c>
      <c r="E5" s="135" t="s">
        <v>178</v>
      </c>
      <c r="F5" s="135" t="s">
        <v>130</v>
      </c>
      <c r="G5" s="135" t="s">
        <v>149</v>
      </c>
      <c r="H5" s="135" t="s">
        <v>132</v>
      </c>
      <c r="I5" s="135">
        <v>4900000</v>
      </c>
      <c r="J5" s="135">
        <v>22</v>
      </c>
    </row>
    <row r="6" spans="3:10" x14ac:dyDescent="0.25">
      <c r="C6" s="134">
        <v>1068</v>
      </c>
      <c r="D6" s="135" t="s">
        <v>128</v>
      </c>
      <c r="E6" s="135" t="s">
        <v>129</v>
      </c>
      <c r="F6" s="135" t="s">
        <v>130</v>
      </c>
      <c r="G6" s="135" t="s">
        <v>131</v>
      </c>
      <c r="H6" s="135" t="s">
        <v>132</v>
      </c>
      <c r="I6" s="135">
        <v>3200000</v>
      </c>
      <c r="J6" s="135">
        <v>19</v>
      </c>
    </row>
    <row r="7" spans="3:10" x14ac:dyDescent="0.25">
      <c r="C7" s="134">
        <v>1907</v>
      </c>
      <c r="D7" s="135" t="s">
        <v>171</v>
      </c>
      <c r="E7" s="135" t="s">
        <v>172</v>
      </c>
      <c r="F7" s="135" t="s">
        <v>130</v>
      </c>
      <c r="G7" s="135" t="s">
        <v>149</v>
      </c>
      <c r="H7" s="135" t="s">
        <v>144</v>
      </c>
      <c r="I7" s="135">
        <v>2600000</v>
      </c>
      <c r="J7" s="135">
        <v>17</v>
      </c>
    </row>
    <row r="8" spans="3:10" x14ac:dyDescent="0.25">
      <c r="C8" s="134">
        <v>1359</v>
      </c>
      <c r="D8" s="135" t="s">
        <v>147</v>
      </c>
      <c r="E8" s="135" t="s">
        <v>148</v>
      </c>
      <c r="F8" s="135" t="s">
        <v>130</v>
      </c>
      <c r="G8" s="135" t="s">
        <v>149</v>
      </c>
      <c r="H8" s="135" t="s">
        <v>132</v>
      </c>
      <c r="I8" s="135">
        <v>2300000</v>
      </c>
      <c r="J8" s="135">
        <v>27</v>
      </c>
    </row>
    <row r="9" spans="3:10" x14ac:dyDescent="0.25">
      <c r="C9" s="136">
        <v>1923</v>
      </c>
      <c r="D9" s="137" t="s">
        <v>175</v>
      </c>
      <c r="E9" s="137" t="s">
        <v>176</v>
      </c>
      <c r="F9" s="137" t="s">
        <v>130</v>
      </c>
      <c r="G9" s="137" t="s">
        <v>149</v>
      </c>
      <c r="H9" s="137" t="s">
        <v>132</v>
      </c>
      <c r="I9" s="137">
        <v>2300000</v>
      </c>
      <c r="J9" s="137">
        <v>30</v>
      </c>
    </row>
    <row r="10" spans="3:10" x14ac:dyDescent="0.25">
      <c r="C10" s="136">
        <v>1293</v>
      </c>
      <c r="D10" s="137" t="s">
        <v>139</v>
      </c>
      <c r="E10" s="137" t="s">
        <v>140</v>
      </c>
      <c r="F10" s="137" t="s">
        <v>130</v>
      </c>
      <c r="G10" s="137" t="s">
        <v>131</v>
      </c>
      <c r="H10" s="137" t="s">
        <v>136</v>
      </c>
      <c r="I10" s="137">
        <v>1700000</v>
      </c>
      <c r="J10" s="137">
        <v>27</v>
      </c>
    </row>
    <row r="11" spans="3:10" x14ac:dyDescent="0.25">
      <c r="C11" s="136">
        <v>1153</v>
      </c>
      <c r="D11" s="137" t="s">
        <v>133</v>
      </c>
      <c r="E11" s="137" t="s">
        <v>134</v>
      </c>
      <c r="F11" s="137" t="s">
        <v>130</v>
      </c>
      <c r="G11" s="137" t="s">
        <v>135</v>
      </c>
      <c r="H11" s="137" t="s">
        <v>136</v>
      </c>
      <c r="I11" s="137">
        <v>1350000</v>
      </c>
      <c r="J11" s="137">
        <v>16</v>
      </c>
    </row>
    <row r="12" spans="3:10" x14ac:dyDescent="0.25">
      <c r="C12" s="134">
        <v>1290</v>
      </c>
      <c r="D12" s="135" t="s">
        <v>137</v>
      </c>
      <c r="E12" s="135" t="s">
        <v>138</v>
      </c>
      <c r="F12" s="135" t="s">
        <v>130</v>
      </c>
      <c r="G12" s="135" t="s">
        <v>135</v>
      </c>
      <c r="H12" s="135" t="s">
        <v>132</v>
      </c>
      <c r="I12" s="135">
        <v>1350000</v>
      </c>
      <c r="J12" s="135">
        <v>15</v>
      </c>
    </row>
  </sheetData>
  <autoFilter ref="C3:J12" xr:uid="{362876BD-49FB-4DB0-BFE6-D5C2E7E12123}">
    <sortState xmlns:xlrd2="http://schemas.microsoft.com/office/spreadsheetml/2017/richdata2" ref="C4:J12">
      <sortCondition descending="1" ref="I3:I12"/>
    </sortState>
  </autoFilter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5BB2-7369-4B77-A5E6-77D808BBECC1}">
  <sheetPr codeName="Hoja4"/>
  <dimension ref="C3:J13"/>
  <sheetViews>
    <sheetView zoomScaleNormal="100" workbookViewId="0">
      <selection activeCell="J58" sqref="J58"/>
    </sheetView>
  </sheetViews>
  <sheetFormatPr baseColWidth="10" defaultRowHeight="15" x14ac:dyDescent="0.25"/>
  <cols>
    <col min="1" max="1" width="13.42578125" customWidth="1"/>
    <col min="3" max="3" width="15.140625" customWidth="1"/>
    <col min="4" max="4" width="11.85546875" bestFit="1" customWidth="1"/>
    <col min="7" max="7" width="11.5703125" bestFit="1" customWidth="1"/>
    <col min="8" max="8" width="12.7109375" customWidth="1"/>
  </cols>
  <sheetData>
    <row r="3" spans="3:10" x14ac:dyDescent="0.25">
      <c r="C3" s="132" t="s">
        <v>0</v>
      </c>
      <c r="D3" s="133" t="s">
        <v>122</v>
      </c>
      <c r="E3" s="133" t="s">
        <v>123</v>
      </c>
      <c r="F3" s="133" t="s">
        <v>124</v>
      </c>
      <c r="G3" s="133" t="s">
        <v>125</v>
      </c>
      <c r="H3" s="133" t="s">
        <v>126</v>
      </c>
      <c r="I3" s="133" t="s">
        <v>1</v>
      </c>
      <c r="J3" s="133" t="s">
        <v>127</v>
      </c>
    </row>
    <row r="4" spans="3:10" x14ac:dyDescent="0.25">
      <c r="C4" s="134">
        <v>1908</v>
      </c>
      <c r="D4" s="135" t="s">
        <v>173</v>
      </c>
      <c r="E4" s="135" t="s">
        <v>174</v>
      </c>
      <c r="F4" s="135" t="s">
        <v>143</v>
      </c>
      <c r="G4" s="135" t="s">
        <v>135</v>
      </c>
      <c r="H4" s="135" t="s">
        <v>144</v>
      </c>
      <c r="I4" s="135">
        <v>5600000</v>
      </c>
      <c r="J4" s="135">
        <v>28</v>
      </c>
    </row>
    <row r="5" spans="3:10" x14ac:dyDescent="0.25">
      <c r="C5" s="134">
        <v>1725</v>
      </c>
      <c r="D5" s="135" t="s">
        <v>163</v>
      </c>
      <c r="E5" s="135" t="s">
        <v>164</v>
      </c>
      <c r="F5" s="135" t="s">
        <v>154</v>
      </c>
      <c r="G5" s="135" t="s">
        <v>135</v>
      </c>
      <c r="H5" s="135" t="s">
        <v>144</v>
      </c>
      <c r="I5" s="135">
        <v>5600000</v>
      </c>
      <c r="J5" s="135">
        <v>23</v>
      </c>
    </row>
    <row r="6" spans="3:10" x14ac:dyDescent="0.25">
      <c r="C6" s="136">
        <v>1815</v>
      </c>
      <c r="D6" s="137" t="s">
        <v>169</v>
      </c>
      <c r="E6" s="137" t="s">
        <v>170</v>
      </c>
      <c r="F6" s="137" t="s">
        <v>130</v>
      </c>
      <c r="G6" s="137" t="s">
        <v>131</v>
      </c>
      <c r="H6" s="137" t="s">
        <v>144</v>
      </c>
      <c r="I6" s="137">
        <v>5600000</v>
      </c>
      <c r="J6" s="137">
        <v>22</v>
      </c>
    </row>
    <row r="7" spans="3:10" x14ac:dyDescent="0.25">
      <c r="C7" s="136">
        <v>1369</v>
      </c>
      <c r="D7" s="137" t="s">
        <v>145</v>
      </c>
      <c r="E7" s="137" t="s">
        <v>150</v>
      </c>
      <c r="F7" s="137" t="s">
        <v>143</v>
      </c>
      <c r="G7" s="137" t="s">
        <v>151</v>
      </c>
      <c r="H7" s="137" t="s">
        <v>144</v>
      </c>
      <c r="I7" s="137">
        <v>4200000</v>
      </c>
      <c r="J7" s="137">
        <v>22</v>
      </c>
    </row>
    <row r="12" spans="3:10" x14ac:dyDescent="0.25">
      <c r="C12" t="s">
        <v>180</v>
      </c>
      <c r="D12" s="122">
        <f>+SUM(J4:J7)</f>
        <v>95</v>
      </c>
    </row>
    <row r="13" spans="3:10" x14ac:dyDescent="0.25">
      <c r="C13" t="s">
        <v>181</v>
      </c>
      <c r="D13" s="122">
        <f>+AVERAGE(J4:J7)</f>
        <v>23.75</v>
      </c>
    </row>
  </sheetData>
  <autoFilter ref="C3:J7" xr:uid="{5F365BB2-7369-4B77-A5E6-77D808BBECC1}">
    <sortState xmlns:xlrd2="http://schemas.microsoft.com/office/spreadsheetml/2017/richdata2" ref="C4:J7">
      <sortCondition descending="1" ref="J3:J7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D0793-1F21-46FA-9EE1-7CAF594D71EC}">
  <sheetPr codeName="Hoja5"/>
  <dimension ref="C3:J17"/>
  <sheetViews>
    <sheetView zoomScaleNormal="100" workbookViewId="0">
      <selection activeCell="J58" sqref="J58"/>
    </sheetView>
  </sheetViews>
  <sheetFormatPr baseColWidth="10" defaultRowHeight="15" x14ac:dyDescent="0.25"/>
  <cols>
    <col min="1" max="1" width="13.7109375" bestFit="1" customWidth="1"/>
    <col min="2" max="3" width="9.85546875" bestFit="1" customWidth="1"/>
    <col min="4" max="4" width="10.7109375" bestFit="1" customWidth="1"/>
    <col min="5" max="5" width="13.42578125" bestFit="1" customWidth="1"/>
    <col min="6" max="6" width="13" bestFit="1" customWidth="1"/>
    <col min="7" max="7" width="11.5703125" bestFit="1" customWidth="1"/>
    <col min="8" max="8" width="13" bestFit="1" customWidth="1"/>
  </cols>
  <sheetData>
    <row r="3" spans="3:10" x14ac:dyDescent="0.25">
      <c r="C3" s="132" t="s">
        <v>0</v>
      </c>
      <c r="D3" s="133" t="s">
        <v>122</v>
      </c>
      <c r="E3" s="133" t="s">
        <v>123</v>
      </c>
      <c r="F3" s="133" t="s">
        <v>124</v>
      </c>
      <c r="G3" s="133" t="s">
        <v>125</v>
      </c>
      <c r="H3" s="133" t="s">
        <v>126</v>
      </c>
      <c r="I3" s="133" t="s">
        <v>1</v>
      </c>
      <c r="J3" s="133" t="s">
        <v>127</v>
      </c>
    </row>
    <row r="4" spans="3:10" x14ac:dyDescent="0.25">
      <c r="C4" s="134">
        <v>1815</v>
      </c>
      <c r="D4" s="135" t="s">
        <v>169</v>
      </c>
      <c r="E4" s="135" t="s">
        <v>170</v>
      </c>
      <c r="F4" s="135" t="s">
        <v>130</v>
      </c>
      <c r="G4" s="135" t="s">
        <v>131</v>
      </c>
      <c r="H4" s="135" t="s">
        <v>144</v>
      </c>
      <c r="I4" s="135">
        <v>5600000</v>
      </c>
      <c r="J4" s="135">
        <v>22</v>
      </c>
    </row>
    <row r="5" spans="3:10" x14ac:dyDescent="0.25">
      <c r="C5" s="136">
        <v>1950</v>
      </c>
      <c r="D5" s="137" t="s">
        <v>177</v>
      </c>
      <c r="E5" s="137" t="s">
        <v>178</v>
      </c>
      <c r="F5" s="137" t="s">
        <v>130</v>
      </c>
      <c r="G5" s="137" t="s">
        <v>149</v>
      </c>
      <c r="H5" s="137" t="s">
        <v>132</v>
      </c>
      <c r="I5" s="137">
        <v>4900000</v>
      </c>
      <c r="J5" s="137">
        <v>22</v>
      </c>
    </row>
    <row r="6" spans="3:10" x14ac:dyDescent="0.25">
      <c r="C6" s="134">
        <v>1369</v>
      </c>
      <c r="D6" s="135" t="s">
        <v>145</v>
      </c>
      <c r="E6" s="135" t="s">
        <v>150</v>
      </c>
      <c r="F6" s="135" t="s">
        <v>143</v>
      </c>
      <c r="G6" s="135" t="s">
        <v>151</v>
      </c>
      <c r="H6" s="135" t="s">
        <v>144</v>
      </c>
      <c r="I6" s="135">
        <v>4200000</v>
      </c>
      <c r="J6" s="135">
        <v>22</v>
      </c>
    </row>
    <row r="7" spans="3:10" x14ac:dyDescent="0.25">
      <c r="C7" s="136">
        <v>1068</v>
      </c>
      <c r="D7" s="137" t="s">
        <v>128</v>
      </c>
      <c r="E7" s="137" t="s">
        <v>129</v>
      </c>
      <c r="F7" s="137" t="s">
        <v>130</v>
      </c>
      <c r="G7" s="137" t="s">
        <v>131</v>
      </c>
      <c r="H7" s="137" t="s">
        <v>132</v>
      </c>
      <c r="I7" s="137">
        <v>3200000</v>
      </c>
      <c r="J7" s="137">
        <v>19</v>
      </c>
    </row>
    <row r="8" spans="3:10" x14ac:dyDescent="0.25">
      <c r="C8" s="134">
        <v>1333</v>
      </c>
      <c r="D8" s="135" t="s">
        <v>145</v>
      </c>
      <c r="E8" s="135" t="s">
        <v>146</v>
      </c>
      <c r="F8" s="135" t="s">
        <v>143</v>
      </c>
      <c r="G8" s="135" t="s">
        <v>131</v>
      </c>
      <c r="H8" s="135" t="s">
        <v>132</v>
      </c>
      <c r="I8" s="135">
        <v>3200000</v>
      </c>
      <c r="J8" s="135">
        <v>28</v>
      </c>
    </row>
    <row r="9" spans="3:10" x14ac:dyDescent="0.25">
      <c r="C9" s="136">
        <v>1907</v>
      </c>
      <c r="D9" s="137" t="s">
        <v>171</v>
      </c>
      <c r="E9" s="137" t="s">
        <v>172</v>
      </c>
      <c r="F9" s="137" t="s">
        <v>130</v>
      </c>
      <c r="G9" s="137" t="s">
        <v>149</v>
      </c>
      <c r="H9" s="137" t="s">
        <v>144</v>
      </c>
      <c r="I9" s="137">
        <v>2600000</v>
      </c>
      <c r="J9" s="137">
        <v>17</v>
      </c>
    </row>
    <row r="10" spans="3:10" x14ac:dyDescent="0.25">
      <c r="C10" s="134">
        <v>1656</v>
      </c>
      <c r="D10" s="135" t="s">
        <v>159</v>
      </c>
      <c r="E10" s="135" t="s">
        <v>160</v>
      </c>
      <c r="F10" s="135" t="s">
        <v>143</v>
      </c>
      <c r="G10" s="135" t="s">
        <v>149</v>
      </c>
      <c r="H10" s="135" t="s">
        <v>144</v>
      </c>
      <c r="I10" s="135">
        <v>2500000</v>
      </c>
      <c r="J10" s="135">
        <v>18</v>
      </c>
    </row>
    <row r="11" spans="3:10" x14ac:dyDescent="0.25">
      <c r="C11" s="136">
        <v>1359</v>
      </c>
      <c r="D11" s="137" t="s">
        <v>147</v>
      </c>
      <c r="E11" s="137" t="s">
        <v>148</v>
      </c>
      <c r="F11" s="137" t="s">
        <v>130</v>
      </c>
      <c r="G11" s="137" t="s">
        <v>149</v>
      </c>
      <c r="H11" s="137" t="s">
        <v>132</v>
      </c>
      <c r="I11" s="137">
        <v>2300000</v>
      </c>
      <c r="J11" s="137">
        <v>27</v>
      </c>
    </row>
    <row r="12" spans="3:10" x14ac:dyDescent="0.25">
      <c r="C12" s="134">
        <v>1923</v>
      </c>
      <c r="D12" s="135" t="s">
        <v>175</v>
      </c>
      <c r="E12" s="135" t="s">
        <v>176</v>
      </c>
      <c r="F12" s="135" t="s">
        <v>130</v>
      </c>
      <c r="G12" s="135" t="s">
        <v>149</v>
      </c>
      <c r="H12" s="135" t="s">
        <v>132</v>
      </c>
      <c r="I12" s="135">
        <v>2300000</v>
      </c>
      <c r="J12" s="135">
        <v>30</v>
      </c>
    </row>
    <row r="13" spans="3:10" x14ac:dyDescent="0.25">
      <c r="C13" s="136">
        <v>1792</v>
      </c>
      <c r="D13" s="137" t="s">
        <v>165</v>
      </c>
      <c r="E13" s="137" t="s">
        <v>166</v>
      </c>
      <c r="F13" s="137" t="s">
        <v>143</v>
      </c>
      <c r="G13" s="137" t="s">
        <v>149</v>
      </c>
      <c r="H13" s="137" t="s">
        <v>136</v>
      </c>
      <c r="I13" s="137">
        <v>2000000</v>
      </c>
      <c r="J13" s="137">
        <v>23</v>
      </c>
    </row>
    <row r="14" spans="3:10" x14ac:dyDescent="0.25">
      <c r="C14" s="134">
        <v>1530</v>
      </c>
      <c r="D14" s="135" t="s">
        <v>157</v>
      </c>
      <c r="E14" s="135" t="s">
        <v>158</v>
      </c>
      <c r="F14" s="135" t="s">
        <v>143</v>
      </c>
      <c r="G14" s="135" t="s">
        <v>135</v>
      </c>
      <c r="H14" s="135" t="s">
        <v>132</v>
      </c>
      <c r="I14" s="135">
        <v>1460000</v>
      </c>
      <c r="J14" s="135">
        <v>24</v>
      </c>
    </row>
    <row r="15" spans="3:10" x14ac:dyDescent="0.25">
      <c r="C15" s="136">
        <v>1153</v>
      </c>
      <c r="D15" s="137" t="s">
        <v>133</v>
      </c>
      <c r="E15" s="137" t="s">
        <v>134</v>
      </c>
      <c r="F15" s="137" t="s">
        <v>130</v>
      </c>
      <c r="G15" s="137" t="s">
        <v>135</v>
      </c>
      <c r="H15" s="137" t="s">
        <v>136</v>
      </c>
      <c r="I15" s="137">
        <v>1350000</v>
      </c>
      <c r="J15" s="137">
        <v>16</v>
      </c>
    </row>
    <row r="16" spans="3:10" x14ac:dyDescent="0.25">
      <c r="C16" s="134">
        <v>1673</v>
      </c>
      <c r="D16" s="135" t="s">
        <v>161</v>
      </c>
      <c r="E16" s="135" t="s">
        <v>162</v>
      </c>
      <c r="F16" s="135" t="s">
        <v>154</v>
      </c>
      <c r="G16" s="135" t="s">
        <v>131</v>
      </c>
      <c r="H16" s="135" t="s">
        <v>132</v>
      </c>
      <c r="I16" s="135">
        <v>1350000</v>
      </c>
      <c r="J16" s="135">
        <v>16</v>
      </c>
    </row>
    <row r="17" spans="3:10" x14ac:dyDescent="0.25">
      <c r="C17" s="136">
        <v>1793</v>
      </c>
      <c r="D17" s="137" t="s">
        <v>167</v>
      </c>
      <c r="E17" s="137" t="s">
        <v>168</v>
      </c>
      <c r="F17" s="137" t="s">
        <v>154</v>
      </c>
      <c r="G17" s="137" t="s">
        <v>135</v>
      </c>
      <c r="H17" s="137" t="s">
        <v>132</v>
      </c>
      <c r="I17" s="137">
        <v>1350000</v>
      </c>
      <c r="J17" s="137">
        <v>25</v>
      </c>
    </row>
  </sheetData>
  <autoFilter ref="C3:J17" xr:uid="{CA7D0793-1F21-46FA-9EE1-7CAF594D71EC}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29F0D-5AEE-4C32-9F10-4431DA697425}">
  <sheetPr codeName="Hoja6" filterMode="1"/>
  <dimension ref="C1:J20"/>
  <sheetViews>
    <sheetView zoomScaleNormal="100" workbookViewId="0">
      <selection activeCell="J58" sqref="J58"/>
    </sheetView>
  </sheetViews>
  <sheetFormatPr baseColWidth="10" defaultRowHeight="15" x14ac:dyDescent="0.25"/>
  <cols>
    <col min="1" max="3" width="10.5703125" customWidth="1"/>
    <col min="4" max="4" width="17.5703125" customWidth="1"/>
    <col min="5" max="22" width="10.5703125" customWidth="1"/>
  </cols>
  <sheetData>
    <row r="1" spans="3:10" ht="14.45" customHeight="1" x14ac:dyDescent="0.25"/>
    <row r="3" spans="3:10" x14ac:dyDescent="0.25">
      <c r="C3" s="132" t="s">
        <v>0</v>
      </c>
      <c r="D3" s="133" t="s">
        <v>122</v>
      </c>
      <c r="E3" s="133" t="s">
        <v>123</v>
      </c>
      <c r="F3" s="133" t="s">
        <v>124</v>
      </c>
      <c r="G3" s="133" t="s">
        <v>125</v>
      </c>
      <c r="H3" s="133" t="s">
        <v>126</v>
      </c>
      <c r="I3" s="133" t="s">
        <v>1</v>
      </c>
      <c r="J3" s="133" t="s">
        <v>127</v>
      </c>
    </row>
    <row r="4" spans="3:10" x14ac:dyDescent="0.25">
      <c r="C4" s="134">
        <v>1303</v>
      </c>
      <c r="D4" s="135" t="s">
        <v>141</v>
      </c>
      <c r="E4" s="135" t="s">
        <v>142</v>
      </c>
      <c r="F4" s="135" t="s">
        <v>143</v>
      </c>
      <c r="G4" s="135" t="s">
        <v>131</v>
      </c>
      <c r="H4" s="135" t="s">
        <v>144</v>
      </c>
      <c r="I4" s="135">
        <v>5600000</v>
      </c>
      <c r="J4" s="135">
        <v>15</v>
      </c>
    </row>
    <row r="5" spans="3:10" x14ac:dyDescent="0.25">
      <c r="C5" s="136">
        <v>1725</v>
      </c>
      <c r="D5" s="137" t="s">
        <v>163</v>
      </c>
      <c r="E5" s="137" t="s">
        <v>164</v>
      </c>
      <c r="F5" s="137" t="s">
        <v>154</v>
      </c>
      <c r="G5" s="137" t="s">
        <v>135</v>
      </c>
      <c r="H5" s="137" t="s">
        <v>144</v>
      </c>
      <c r="I5" s="137">
        <v>5600000</v>
      </c>
      <c r="J5" s="137">
        <v>23</v>
      </c>
    </row>
    <row r="6" spans="3:10" x14ac:dyDescent="0.25">
      <c r="C6" s="134">
        <v>1815</v>
      </c>
      <c r="D6" s="135" t="s">
        <v>169</v>
      </c>
      <c r="E6" s="135" t="s">
        <v>170</v>
      </c>
      <c r="F6" s="135" t="s">
        <v>130</v>
      </c>
      <c r="G6" s="135" t="s">
        <v>131</v>
      </c>
      <c r="H6" s="135" t="s">
        <v>144</v>
      </c>
      <c r="I6" s="135">
        <v>5600000</v>
      </c>
      <c r="J6" s="135">
        <v>22</v>
      </c>
    </row>
    <row r="7" spans="3:10" x14ac:dyDescent="0.25">
      <c r="C7" s="136">
        <v>1908</v>
      </c>
      <c r="D7" s="137" t="s">
        <v>173</v>
      </c>
      <c r="E7" s="137" t="s">
        <v>174</v>
      </c>
      <c r="F7" s="137" t="s">
        <v>143</v>
      </c>
      <c r="G7" s="137" t="s">
        <v>135</v>
      </c>
      <c r="H7" s="137" t="s">
        <v>144</v>
      </c>
      <c r="I7" s="137">
        <v>5600000</v>
      </c>
      <c r="J7" s="137">
        <v>28</v>
      </c>
    </row>
    <row r="8" spans="3:10" hidden="1" x14ac:dyDescent="0.25">
      <c r="C8" s="134">
        <v>1950</v>
      </c>
      <c r="D8" s="135" t="s">
        <v>177</v>
      </c>
      <c r="E8" s="135" t="s">
        <v>178</v>
      </c>
      <c r="F8" s="135" t="s">
        <v>130</v>
      </c>
      <c r="G8" s="135" t="s">
        <v>149</v>
      </c>
      <c r="H8" s="135" t="s">
        <v>132</v>
      </c>
      <c r="I8" s="135">
        <v>4900000</v>
      </c>
      <c r="J8" s="135">
        <v>22</v>
      </c>
    </row>
    <row r="9" spans="3:10" x14ac:dyDescent="0.25">
      <c r="C9" s="136">
        <v>1369</v>
      </c>
      <c r="D9" s="137" t="s">
        <v>145</v>
      </c>
      <c r="E9" s="137" t="s">
        <v>150</v>
      </c>
      <c r="F9" s="137" t="s">
        <v>143</v>
      </c>
      <c r="G9" s="137" t="s">
        <v>151</v>
      </c>
      <c r="H9" s="137" t="s">
        <v>144</v>
      </c>
      <c r="I9" s="137">
        <v>4200000</v>
      </c>
      <c r="J9" s="137">
        <v>22</v>
      </c>
    </row>
    <row r="10" spans="3:10" hidden="1" x14ac:dyDescent="0.25">
      <c r="C10" s="134">
        <v>1068</v>
      </c>
      <c r="D10" s="135" t="s">
        <v>128</v>
      </c>
      <c r="E10" s="135" t="s">
        <v>129</v>
      </c>
      <c r="F10" s="135" t="s">
        <v>130</v>
      </c>
      <c r="G10" s="135" t="s">
        <v>131</v>
      </c>
      <c r="H10" s="135" t="s">
        <v>132</v>
      </c>
      <c r="I10" s="135">
        <v>3200000</v>
      </c>
      <c r="J10" s="135">
        <v>19</v>
      </c>
    </row>
    <row r="11" spans="3:10" hidden="1" x14ac:dyDescent="0.25">
      <c r="C11" s="136">
        <v>1333</v>
      </c>
      <c r="D11" s="137" t="s">
        <v>145</v>
      </c>
      <c r="E11" s="137" t="s">
        <v>146</v>
      </c>
      <c r="F11" s="137" t="s">
        <v>143</v>
      </c>
      <c r="G11" s="137" t="s">
        <v>131</v>
      </c>
      <c r="H11" s="137" t="s">
        <v>132</v>
      </c>
      <c r="I11" s="137">
        <v>3200000</v>
      </c>
      <c r="J11" s="137">
        <v>28</v>
      </c>
    </row>
    <row r="12" spans="3:10" hidden="1" x14ac:dyDescent="0.25">
      <c r="C12" s="134">
        <v>1529</v>
      </c>
      <c r="D12" s="135" t="s">
        <v>155</v>
      </c>
      <c r="E12" s="135" t="s">
        <v>156</v>
      </c>
      <c r="F12" s="135" t="s">
        <v>143</v>
      </c>
      <c r="G12" s="135" t="s">
        <v>151</v>
      </c>
      <c r="H12" s="135" t="s">
        <v>132</v>
      </c>
      <c r="I12" s="135">
        <v>3200000</v>
      </c>
      <c r="J12" s="135">
        <v>20</v>
      </c>
    </row>
    <row r="13" spans="3:10" hidden="1" x14ac:dyDescent="0.25">
      <c r="C13" s="136">
        <v>1518</v>
      </c>
      <c r="D13" s="137" t="s">
        <v>152</v>
      </c>
      <c r="E13" s="137" t="s">
        <v>153</v>
      </c>
      <c r="F13" s="137" t="s">
        <v>154</v>
      </c>
      <c r="G13" s="137" t="s">
        <v>131</v>
      </c>
      <c r="H13" s="137" t="s">
        <v>132</v>
      </c>
      <c r="I13" s="137">
        <v>2600000</v>
      </c>
      <c r="J13" s="137">
        <v>27</v>
      </c>
    </row>
    <row r="14" spans="3:10" x14ac:dyDescent="0.25">
      <c r="C14" s="134">
        <v>1907</v>
      </c>
      <c r="D14" s="135" t="s">
        <v>171</v>
      </c>
      <c r="E14" s="135" t="s">
        <v>172</v>
      </c>
      <c r="F14" s="135" t="s">
        <v>130</v>
      </c>
      <c r="G14" s="135" t="s">
        <v>149</v>
      </c>
      <c r="H14" s="135" t="s">
        <v>144</v>
      </c>
      <c r="I14" s="135">
        <v>2600000</v>
      </c>
      <c r="J14" s="135">
        <v>17</v>
      </c>
    </row>
    <row r="19" spans="4:4" x14ac:dyDescent="0.25">
      <c r="D19">
        <f>+MODE(J4:J14)</f>
        <v>22</v>
      </c>
    </row>
    <row r="20" spans="4:4" x14ac:dyDescent="0.25">
      <c r="D20" s="138">
        <f>+SUM(I4:I14)</f>
        <v>46300000</v>
      </c>
    </row>
  </sheetData>
  <autoFilter ref="H3:H14" xr:uid="{1B029F0D-5AEE-4C32-9F10-4431DA697425}">
    <filterColumn colId="0">
      <filters>
        <filter val="Administrativo"/>
      </filters>
    </filterColumn>
  </autoFilter>
  <phoneticPr fontId="20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BE95-92AF-44B5-B76E-EB6BB063AE6A}">
  <sheetPr codeName="Hoja7"/>
  <dimension ref="B1:L26"/>
  <sheetViews>
    <sheetView showGridLines="0" showRowColHeaders="0" zoomScale="91" zoomScaleNormal="100" workbookViewId="0">
      <selection activeCell="J58" sqref="J58"/>
    </sheetView>
  </sheetViews>
  <sheetFormatPr baseColWidth="10" defaultColWidth="0" defaultRowHeight="15" zeroHeight="1" x14ac:dyDescent="0.25"/>
  <cols>
    <col min="1" max="1" width="11.42578125" customWidth="1"/>
    <col min="2" max="2" width="13.42578125" style="2" customWidth="1"/>
    <col min="3" max="3" width="29.7109375" style="3" customWidth="1"/>
    <col min="4" max="4" width="11.42578125" customWidth="1"/>
    <col min="5" max="8" width="11.42578125" hidden="1" customWidth="1"/>
    <col min="9" max="12" width="11.42578125" hidden="1"/>
  </cols>
  <sheetData>
    <row r="1" spans="2:12" x14ac:dyDescent="0.25"/>
    <row r="2" spans="2:12" x14ac:dyDescent="0.25">
      <c r="B2" s="80" t="s">
        <v>0</v>
      </c>
      <c r="C2" s="81" t="s">
        <v>1</v>
      </c>
    </row>
    <row r="3" spans="2:12" x14ac:dyDescent="0.25">
      <c r="B3" s="82">
        <v>1068</v>
      </c>
      <c r="C3" s="1">
        <f>+VLOOKUP(Tabla10[[#This Row],[ID empleado]],Tabla1[],7,FALSE)</f>
        <v>3200000</v>
      </c>
      <c r="L3" s="30">
        <v>44042.646909722222</v>
      </c>
    </row>
    <row r="4" spans="2:12" x14ac:dyDescent="0.25">
      <c r="B4" s="83">
        <v>1153</v>
      </c>
      <c r="C4" s="1">
        <f>+VLOOKUP(Tabla10[[#This Row],[ID empleado]],Tabla1[],7,FALSE)</f>
        <v>1350000</v>
      </c>
    </row>
    <row r="5" spans="2:12" x14ac:dyDescent="0.25">
      <c r="B5" s="82">
        <v>1290</v>
      </c>
      <c r="C5" s="1">
        <f>+VLOOKUP(Tabla10[[#This Row],[ID empleado]],Tabla1[],7,FALSE)</f>
        <v>1350000</v>
      </c>
    </row>
    <row r="6" spans="2:12" x14ac:dyDescent="0.25">
      <c r="B6" s="82">
        <v>1293</v>
      </c>
      <c r="C6" s="1">
        <f>+VLOOKUP(Tabla10[[#This Row],[ID empleado]],Tabla1[],7,FALSE)</f>
        <v>1700000</v>
      </c>
    </row>
    <row r="7" spans="2:12" x14ac:dyDescent="0.25">
      <c r="B7" s="82">
        <v>1303</v>
      </c>
      <c r="C7" s="1">
        <f>+VLOOKUP(Tabla10[[#This Row],[ID empleado]],Tabla1[],7,FALSE)</f>
        <v>5600000</v>
      </c>
    </row>
    <row r="8" spans="2:12" x14ac:dyDescent="0.25">
      <c r="B8" s="82">
        <v>1333</v>
      </c>
      <c r="C8" s="1">
        <f>+VLOOKUP(Tabla10[[#This Row],[ID empleado]],Tabla1[],7,FALSE)</f>
        <v>3200000</v>
      </c>
    </row>
    <row r="9" spans="2:12" x14ac:dyDescent="0.25">
      <c r="B9" s="82">
        <v>1359</v>
      </c>
      <c r="C9" s="1">
        <f>+VLOOKUP(Tabla10[[#This Row],[ID empleado]],Tabla1[],7,FALSE)</f>
        <v>2300000</v>
      </c>
    </row>
    <row r="10" spans="2:12" x14ac:dyDescent="0.25">
      <c r="B10" s="82">
        <v>1369</v>
      </c>
      <c r="C10" s="1">
        <f>+VLOOKUP(Tabla10[[#This Row],[ID empleado]],Tabla1[],7,FALSE)</f>
        <v>4200000</v>
      </c>
    </row>
    <row r="11" spans="2:12" x14ac:dyDescent="0.25">
      <c r="B11" s="82">
        <v>1518</v>
      </c>
      <c r="C11" s="1">
        <f>+VLOOKUP(Tabla10[[#This Row],[ID empleado]],Tabla1[],7,FALSE)</f>
        <v>2600000</v>
      </c>
    </row>
    <row r="12" spans="2:12" x14ac:dyDescent="0.25">
      <c r="B12" s="82">
        <v>1529</v>
      </c>
      <c r="C12" s="1">
        <f>+VLOOKUP(Tabla10[[#This Row],[ID empleado]],Tabla1[],7,FALSE)</f>
        <v>3200000</v>
      </c>
    </row>
    <row r="13" spans="2:12" x14ac:dyDescent="0.25">
      <c r="B13" s="82">
        <v>1530</v>
      </c>
      <c r="C13" s="1">
        <f>+VLOOKUP(Tabla10[[#This Row],[ID empleado]],Tabla1[],7,FALSE)</f>
        <v>1460000</v>
      </c>
    </row>
    <row r="14" spans="2:12" x14ac:dyDescent="0.25">
      <c r="B14" s="82">
        <v>1656</v>
      </c>
      <c r="C14" s="1">
        <f>+VLOOKUP(Tabla10[[#This Row],[ID empleado]],Tabla1[],7,FALSE)</f>
        <v>2500000</v>
      </c>
    </row>
    <row r="15" spans="2:12" x14ac:dyDescent="0.25">
      <c r="B15" s="82">
        <v>1673</v>
      </c>
      <c r="C15" s="1">
        <f>+VLOOKUP(Tabla10[[#This Row],[ID empleado]],Tabla1[],7,FALSE)</f>
        <v>1350000</v>
      </c>
    </row>
    <row r="16" spans="2:12" x14ac:dyDescent="0.25">
      <c r="B16" s="82">
        <v>1725</v>
      </c>
      <c r="C16" s="1">
        <f>+VLOOKUP(Tabla10[[#This Row],[ID empleado]],Tabla1[],7,FALSE)</f>
        <v>5600000</v>
      </c>
    </row>
    <row r="17" spans="2:4" x14ac:dyDescent="0.25">
      <c r="B17" s="82">
        <v>1792</v>
      </c>
      <c r="C17" s="1">
        <f>+VLOOKUP(Tabla10[[#This Row],[ID empleado]],Tabla1[],7,FALSE)</f>
        <v>2000000</v>
      </c>
    </row>
    <row r="18" spans="2:4" x14ac:dyDescent="0.25">
      <c r="B18" s="82">
        <v>1793</v>
      </c>
      <c r="C18" s="1">
        <f>+VLOOKUP(Tabla10[[#This Row],[ID empleado]],Tabla1[],7,FALSE)</f>
        <v>1350000</v>
      </c>
    </row>
    <row r="19" spans="2:4" x14ac:dyDescent="0.25">
      <c r="B19" s="82">
        <v>1815</v>
      </c>
      <c r="C19" s="1">
        <f>+VLOOKUP(Tabla10[[#This Row],[ID empleado]],Tabla1[],7,FALSE)</f>
        <v>5600000</v>
      </c>
    </row>
    <row r="20" spans="2:4" x14ac:dyDescent="0.25">
      <c r="B20" s="82">
        <v>1907</v>
      </c>
      <c r="C20" s="1">
        <f>+VLOOKUP(Tabla10[[#This Row],[ID empleado]],Tabla1[],7,FALSE)</f>
        <v>2600000</v>
      </c>
    </row>
    <row r="21" spans="2:4" x14ac:dyDescent="0.25">
      <c r="B21" s="83">
        <v>1908</v>
      </c>
      <c r="C21" s="1">
        <f>+VLOOKUP(Tabla10[[#This Row],[ID empleado]],Tabla1[],7,FALSE)</f>
        <v>5600000</v>
      </c>
    </row>
    <row r="22" spans="2:4" x14ac:dyDescent="0.25">
      <c r="B22" s="82">
        <v>1923</v>
      </c>
      <c r="C22" s="1">
        <f>+VLOOKUP(Tabla10[[#This Row],[ID empleado]],Tabla1[],7,FALSE)</f>
        <v>2300000</v>
      </c>
    </row>
    <row r="23" spans="2:4" x14ac:dyDescent="0.25">
      <c r="B23" s="82">
        <v>1950</v>
      </c>
      <c r="C23" s="1">
        <f>+VLOOKUP(Tabla10[[#This Row],[ID empleado]],Tabla1[],7,FALSE)</f>
        <v>4900000</v>
      </c>
    </row>
    <row r="24" spans="2:4" x14ac:dyDescent="0.25">
      <c r="C24" s="2"/>
      <c r="D24" s="2"/>
    </row>
    <row r="25" spans="2:4" x14ac:dyDescent="0.25"/>
    <row r="26" spans="2:4" x14ac:dyDescent="0.25"/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9F91-A617-4BFE-AC7E-1C7BE42CDD00}">
  <sheetPr codeName="Hoja8"/>
  <dimension ref="A1:S40"/>
  <sheetViews>
    <sheetView showGridLines="0" showRowColHeaders="0" topLeftCell="A15" zoomScale="61" zoomScaleNormal="70" workbookViewId="0">
      <selection activeCell="S4" sqref="S3:S4"/>
    </sheetView>
  </sheetViews>
  <sheetFormatPr baseColWidth="10" defaultColWidth="0" defaultRowHeight="15" zeroHeight="1" x14ac:dyDescent="0.25"/>
  <cols>
    <col min="1" max="1" width="17.5703125" style="5" customWidth="1"/>
    <col min="2" max="2" width="9.85546875" style="11" customWidth="1"/>
    <col min="3" max="3" width="11.85546875" style="5" bestFit="1" customWidth="1"/>
    <col min="4" max="9" width="11.42578125" style="5" customWidth="1"/>
    <col min="10" max="10" width="16.7109375" style="12" bestFit="1" customWidth="1"/>
    <col min="11" max="11" width="22.85546875" style="29" hidden="1" customWidth="1"/>
    <col min="12" max="12" width="14.42578125" style="55" hidden="1" customWidth="1"/>
    <col min="13" max="13" width="11.5703125" style="5" customWidth="1"/>
    <col min="14" max="14" width="11.42578125" style="5" customWidth="1"/>
    <col min="15" max="15" width="20.5703125" style="5" hidden="1" customWidth="1"/>
    <col min="16" max="16" width="18.28515625" style="5" hidden="1" customWidth="1"/>
    <col min="17" max="17" width="13" hidden="1" customWidth="1"/>
    <col min="18" max="18" width="4.42578125" hidden="1" customWidth="1"/>
    <col min="19" max="19" width="76.7109375" customWidth="1"/>
    <col min="20" max="16384" width="11.42578125" hidden="1"/>
  </cols>
  <sheetData>
    <row r="1" spans="2:18" ht="15.75" thickBot="1" x14ac:dyDescent="0.3">
      <c r="M1" s="13" t="s">
        <v>25</v>
      </c>
      <c r="N1" s="14">
        <f>SUM(P3:P39)</f>
        <v>35</v>
      </c>
      <c r="O1" s="47"/>
      <c r="P1" s="45" t="s">
        <v>67</v>
      </c>
      <c r="Q1" s="32" t="s">
        <v>66</v>
      </c>
      <c r="R1" s="5" t="s">
        <v>23</v>
      </c>
    </row>
    <row r="2" spans="2:18" ht="30.75" thickBot="1" x14ac:dyDescent="0.3">
      <c r="B2" s="15" t="s">
        <v>30</v>
      </c>
      <c r="C2" s="16"/>
      <c r="D2" s="16"/>
      <c r="E2" s="16"/>
      <c r="F2" s="16"/>
      <c r="G2" s="16"/>
      <c r="H2" s="16"/>
      <c r="I2" s="16"/>
      <c r="J2" s="17" t="s">
        <v>59</v>
      </c>
      <c r="O2" s="17" t="s">
        <v>60</v>
      </c>
      <c r="P2" s="31"/>
      <c r="Q2" s="32"/>
      <c r="R2" s="5" t="s">
        <v>24</v>
      </c>
    </row>
    <row r="3" spans="2:18" ht="42.75" customHeight="1" thickBot="1" x14ac:dyDescent="0.3">
      <c r="B3" s="18" t="s">
        <v>35</v>
      </c>
      <c r="C3" s="114" t="s">
        <v>29</v>
      </c>
      <c r="D3" s="114"/>
      <c r="E3" s="114"/>
      <c r="F3" s="114"/>
      <c r="G3" s="114"/>
      <c r="H3" s="114"/>
      <c r="I3" s="114"/>
      <c r="J3" s="19"/>
      <c r="L3" s="56" t="s">
        <v>85</v>
      </c>
      <c r="O3" s="19" t="s">
        <v>23</v>
      </c>
      <c r="P3" s="40">
        <f>IFERROR(IF(J3=O3,Q3,0),"")</f>
        <v>0</v>
      </c>
      <c r="Q3" s="41"/>
      <c r="R3" s="5"/>
    </row>
    <row r="4" spans="2:18" ht="15.75" customHeight="1" thickBot="1" x14ac:dyDescent="0.3">
      <c r="B4" s="20" t="s">
        <v>34</v>
      </c>
      <c r="C4" s="115" t="s">
        <v>107</v>
      </c>
      <c r="D4" s="115"/>
      <c r="E4" s="115"/>
      <c r="F4" s="115"/>
      <c r="G4" s="115"/>
      <c r="H4" s="115"/>
      <c r="I4" s="115"/>
      <c r="J4" s="21">
        <f>ENUNCIADO!$J$31</f>
        <v>21</v>
      </c>
      <c r="M4" s="50"/>
      <c r="O4" s="21">
        <v>21</v>
      </c>
      <c r="P4" s="43">
        <f>IFERROR(IF(J4=O4,Q4,0),"")</f>
        <v>5</v>
      </c>
      <c r="Q4" s="44">
        <v>5</v>
      </c>
      <c r="R4" s="5"/>
    </row>
    <row r="5" spans="2:18" ht="15.75" thickBot="1" x14ac:dyDescent="0.3">
      <c r="B5" s="15" t="s">
        <v>32</v>
      </c>
      <c r="C5" s="48"/>
      <c r="D5" s="48"/>
      <c r="E5" s="48"/>
      <c r="F5" s="48"/>
      <c r="G5" s="48"/>
      <c r="H5" s="48"/>
      <c r="I5" s="48"/>
      <c r="J5" s="34"/>
      <c r="O5" s="34"/>
      <c r="P5" s="31"/>
      <c r="Q5" s="32"/>
      <c r="R5" s="5"/>
    </row>
    <row r="6" spans="2:18" ht="15.75" customHeight="1" thickBot="1" x14ac:dyDescent="0.3">
      <c r="B6" s="20" t="s">
        <v>36</v>
      </c>
      <c r="C6" s="116" t="s">
        <v>31</v>
      </c>
      <c r="D6" s="116"/>
      <c r="E6" s="116"/>
      <c r="F6" s="116"/>
      <c r="G6" s="116"/>
      <c r="H6" s="116"/>
      <c r="I6" s="116"/>
      <c r="J6" s="19"/>
      <c r="L6" s="56" t="s">
        <v>85</v>
      </c>
      <c r="O6" s="19" t="s">
        <v>23</v>
      </c>
      <c r="P6" s="40">
        <f>IFERROR(IF(J6=O6,Q6,0),"")</f>
        <v>0</v>
      </c>
      <c r="Q6" s="41"/>
      <c r="R6" s="5"/>
    </row>
    <row r="7" spans="2:18" ht="15.75" thickBot="1" x14ac:dyDescent="0.3">
      <c r="B7" s="15" t="s">
        <v>33</v>
      </c>
      <c r="C7" s="48"/>
      <c r="D7" s="48"/>
      <c r="E7" s="48"/>
      <c r="F7" s="48"/>
      <c r="G7" s="48"/>
      <c r="H7" s="48"/>
      <c r="I7" s="48"/>
      <c r="J7" s="34"/>
      <c r="O7" s="34"/>
      <c r="P7" s="31"/>
      <c r="Q7" s="32"/>
      <c r="R7" s="5"/>
    </row>
    <row r="8" spans="2:18" ht="34.5" customHeight="1" thickBot="1" x14ac:dyDescent="0.3">
      <c r="B8" s="18" t="s">
        <v>37</v>
      </c>
      <c r="C8" s="114" t="s">
        <v>91</v>
      </c>
      <c r="D8" s="114"/>
      <c r="E8" s="114"/>
      <c r="F8" s="114"/>
      <c r="G8" s="114"/>
      <c r="H8" s="114"/>
      <c r="I8" s="114"/>
      <c r="J8" s="19"/>
      <c r="L8" s="56" t="s">
        <v>85</v>
      </c>
      <c r="O8" s="19" t="s">
        <v>23</v>
      </c>
      <c r="P8" s="40">
        <f>IFERROR(IF(J8=O8,Q8,0),"")</f>
        <v>0</v>
      </c>
      <c r="Q8" s="41"/>
      <c r="R8" s="5"/>
    </row>
    <row r="9" spans="2:18" ht="60.75" customHeight="1" thickBot="1" x14ac:dyDescent="0.3">
      <c r="B9" s="18" t="s">
        <v>38</v>
      </c>
      <c r="C9" s="117" t="s">
        <v>108</v>
      </c>
      <c r="D9" s="117"/>
      <c r="E9" s="117"/>
      <c r="F9" s="117"/>
      <c r="G9" s="117"/>
      <c r="H9" s="117"/>
      <c r="I9" s="117"/>
      <c r="J9" s="19"/>
      <c r="L9" s="56" t="s">
        <v>85</v>
      </c>
      <c r="O9" s="19" t="s">
        <v>23</v>
      </c>
      <c r="P9" s="40">
        <f>IFERROR(IF(J9=O9,Q9,0),"")</f>
        <v>0</v>
      </c>
      <c r="Q9" s="42"/>
      <c r="R9" s="5"/>
    </row>
    <row r="10" spans="2:18" ht="15.75" customHeight="1" thickBot="1" x14ac:dyDescent="0.3">
      <c r="B10" s="18" t="s">
        <v>39</v>
      </c>
      <c r="C10" s="118" t="s">
        <v>93</v>
      </c>
      <c r="D10" s="118"/>
      <c r="E10" s="118"/>
      <c r="F10" s="118"/>
      <c r="G10" s="118"/>
      <c r="H10" s="118"/>
      <c r="I10" s="118"/>
      <c r="J10" s="23">
        <f>ENUNCIADO!$J$37</f>
        <v>1359</v>
      </c>
      <c r="O10" s="23">
        <v>1068</v>
      </c>
      <c r="P10" s="43">
        <f>IFERROR(IF(J10=O10,Q10,0),"")</f>
        <v>0</v>
      </c>
      <c r="Q10" s="44">
        <v>5</v>
      </c>
      <c r="R10" s="5"/>
    </row>
    <row r="11" spans="2:18" ht="15.75" customHeight="1" thickBot="1" x14ac:dyDescent="0.3">
      <c r="B11" s="20"/>
      <c r="C11" s="49"/>
      <c r="D11" s="49"/>
      <c r="E11" s="49"/>
      <c r="F11" s="49"/>
      <c r="G11" s="49"/>
      <c r="H11" s="49"/>
      <c r="I11" s="49"/>
      <c r="J11" s="34"/>
      <c r="O11" s="57"/>
      <c r="P11" s="58"/>
      <c r="Q11" s="32"/>
      <c r="R11" s="5"/>
    </row>
    <row r="12" spans="2:18" x14ac:dyDescent="0.25">
      <c r="B12" s="15" t="s">
        <v>41</v>
      </c>
      <c r="C12" s="48"/>
      <c r="D12" s="48"/>
      <c r="E12" s="48"/>
      <c r="F12" s="48"/>
      <c r="G12" s="48"/>
      <c r="H12" s="48"/>
      <c r="I12" s="48"/>
      <c r="J12" s="22"/>
      <c r="O12" s="11"/>
      <c r="P12" s="58"/>
      <c r="Q12" s="32"/>
      <c r="R12" s="5"/>
    </row>
    <row r="13" spans="2:18" ht="15.75" thickBot="1" x14ac:dyDescent="0.3">
      <c r="B13" s="46"/>
      <c r="C13" s="118" t="s">
        <v>40</v>
      </c>
      <c r="D13" s="118"/>
      <c r="E13" s="118"/>
      <c r="F13" s="118"/>
      <c r="G13" s="118"/>
      <c r="H13" s="118"/>
      <c r="I13" s="118"/>
      <c r="J13" s="24"/>
      <c r="O13" s="59"/>
      <c r="P13" s="60"/>
      <c r="Q13" s="32"/>
      <c r="R13" s="5"/>
    </row>
    <row r="14" spans="2:18" ht="52.5" customHeight="1" thickBot="1" x14ac:dyDescent="0.3">
      <c r="B14" s="18" t="s">
        <v>42</v>
      </c>
      <c r="C14" s="114" t="s">
        <v>95</v>
      </c>
      <c r="D14" s="114"/>
      <c r="E14" s="114"/>
      <c r="F14" s="114"/>
      <c r="G14" s="114"/>
      <c r="H14" s="114"/>
      <c r="I14" s="114"/>
      <c r="J14" s="19"/>
      <c r="L14" s="56" t="s">
        <v>85</v>
      </c>
      <c r="O14" s="19" t="s">
        <v>23</v>
      </c>
      <c r="P14" s="40">
        <f>IFERROR(IF(J14=O14,Q14,0),"")</f>
        <v>0</v>
      </c>
      <c r="Q14" s="42"/>
      <c r="R14" s="5"/>
    </row>
    <row r="15" spans="2:18" ht="57.75" customHeight="1" thickBot="1" x14ac:dyDescent="0.3">
      <c r="B15" s="18" t="s">
        <v>43</v>
      </c>
      <c r="C15" s="117" t="s">
        <v>81</v>
      </c>
      <c r="D15" s="117"/>
      <c r="E15" s="117"/>
      <c r="F15" s="117"/>
      <c r="G15" s="117"/>
      <c r="H15" s="117"/>
      <c r="I15" s="117"/>
      <c r="J15" s="19"/>
      <c r="L15" s="56" t="s">
        <v>85</v>
      </c>
      <c r="O15" s="19" t="s">
        <v>23</v>
      </c>
      <c r="P15" s="40">
        <f>IFERROR(IF(J15=O15,Q15,0),"")</f>
        <v>0</v>
      </c>
      <c r="Q15" s="41"/>
      <c r="R15" s="5"/>
    </row>
    <row r="16" spans="2:18" ht="15.75" customHeight="1" thickBot="1" x14ac:dyDescent="0.3">
      <c r="B16" s="18" t="s">
        <v>44</v>
      </c>
      <c r="C16" s="118" t="s">
        <v>109</v>
      </c>
      <c r="D16" s="118"/>
      <c r="E16" s="118"/>
      <c r="F16" s="118"/>
      <c r="G16" s="118"/>
      <c r="H16" s="118"/>
      <c r="I16" s="118"/>
      <c r="J16" s="25">
        <f>ENUNCIADO!$J$43</f>
        <v>95</v>
      </c>
      <c r="O16" s="25">
        <v>95</v>
      </c>
      <c r="P16" s="43">
        <f>IFERROR(IF(J16=O16,Q16,0),"")</f>
        <v>10</v>
      </c>
      <c r="Q16" s="44">
        <v>10</v>
      </c>
      <c r="R16" s="5"/>
    </row>
    <row r="17" spans="2:18" ht="15.75" customHeight="1" thickBot="1" x14ac:dyDescent="0.3">
      <c r="B17" s="18" t="s">
        <v>48</v>
      </c>
      <c r="C17" s="118" t="s">
        <v>110</v>
      </c>
      <c r="D17" s="118"/>
      <c r="E17" s="118"/>
      <c r="F17" s="118"/>
      <c r="G17" s="118"/>
      <c r="H17" s="118"/>
      <c r="I17" s="118"/>
      <c r="J17" s="25">
        <f>ENUNCIADO!$J$44</f>
        <v>23.75</v>
      </c>
      <c r="O17" s="35">
        <v>23.75</v>
      </c>
      <c r="P17" s="43">
        <f>IFERROR(IF(J17=O17,Q17,0),"")</f>
        <v>10</v>
      </c>
      <c r="Q17" s="44">
        <v>10</v>
      </c>
      <c r="R17" s="5"/>
    </row>
    <row r="18" spans="2:18" ht="30.75" customHeight="1" thickBot="1" x14ac:dyDescent="0.3">
      <c r="B18" s="20"/>
      <c r="C18" s="115"/>
      <c r="D18" s="115"/>
      <c r="E18" s="115"/>
      <c r="F18" s="115"/>
      <c r="G18" s="115"/>
      <c r="H18" s="115"/>
      <c r="I18" s="115"/>
      <c r="J18" s="34"/>
      <c r="O18" s="34"/>
      <c r="P18" s="31"/>
      <c r="Q18" s="32"/>
      <c r="R18" s="5"/>
    </row>
    <row r="19" spans="2:18" ht="27" customHeight="1" x14ac:dyDescent="0.25">
      <c r="B19" s="15" t="s">
        <v>45</v>
      </c>
      <c r="C19" s="48"/>
      <c r="D19" s="48"/>
      <c r="E19" s="48"/>
      <c r="F19" s="48"/>
      <c r="G19" s="48"/>
      <c r="H19" s="48"/>
      <c r="I19" s="48"/>
      <c r="J19" s="22"/>
      <c r="O19" s="22"/>
      <c r="P19" s="33"/>
      <c r="Q19" s="32"/>
      <c r="R19" s="5"/>
    </row>
    <row r="20" spans="2:18" ht="15.75" customHeight="1" thickBot="1" x14ac:dyDescent="0.3">
      <c r="B20" s="46"/>
      <c r="C20" s="118" t="s">
        <v>40</v>
      </c>
      <c r="D20" s="118"/>
      <c r="E20" s="118"/>
      <c r="F20" s="118"/>
      <c r="G20" s="118"/>
      <c r="H20" s="118"/>
      <c r="I20" s="118"/>
      <c r="J20" s="37"/>
      <c r="O20" s="37"/>
      <c r="P20" s="33"/>
      <c r="Q20" s="32"/>
      <c r="R20" s="5"/>
    </row>
    <row r="21" spans="2:18" ht="41.25" customHeight="1" thickBot="1" x14ac:dyDescent="0.3">
      <c r="B21" s="18" t="s">
        <v>46</v>
      </c>
      <c r="C21" s="114" t="s">
        <v>98</v>
      </c>
      <c r="D21" s="114"/>
      <c r="E21" s="114"/>
      <c r="F21" s="114"/>
      <c r="G21" s="114"/>
      <c r="H21" s="114"/>
      <c r="I21" s="114"/>
      <c r="J21" s="19"/>
      <c r="L21" s="56" t="s">
        <v>85</v>
      </c>
      <c r="O21" s="19" t="s">
        <v>23</v>
      </c>
      <c r="P21" s="40">
        <f>IFERROR(IF(J21=O21,Q21,0),"")</f>
        <v>0</v>
      </c>
      <c r="Q21" s="41"/>
      <c r="R21" s="5"/>
    </row>
    <row r="22" spans="2:18" ht="36.75" customHeight="1" thickBot="1" x14ac:dyDescent="0.3">
      <c r="B22" s="18" t="s">
        <v>47</v>
      </c>
      <c r="C22" s="117" t="s">
        <v>82</v>
      </c>
      <c r="D22" s="117"/>
      <c r="E22" s="117"/>
      <c r="F22" s="117"/>
      <c r="G22" s="117"/>
      <c r="H22" s="117"/>
      <c r="I22" s="117"/>
      <c r="J22" s="19"/>
      <c r="L22" s="56" t="s">
        <v>85</v>
      </c>
      <c r="O22" s="19" t="s">
        <v>23</v>
      </c>
      <c r="P22" s="40">
        <f>IFERROR(IF(J22=O22,Q22,0),"")</f>
        <v>0</v>
      </c>
      <c r="Q22" s="41"/>
      <c r="R22" s="5"/>
    </row>
    <row r="23" spans="2:18" ht="15.75" thickBot="1" x14ac:dyDescent="0.3">
      <c r="B23" s="18" t="s">
        <v>49</v>
      </c>
      <c r="C23" s="118" t="s">
        <v>99</v>
      </c>
      <c r="D23" s="118"/>
      <c r="E23" s="118"/>
      <c r="F23" s="118"/>
      <c r="G23" s="118"/>
      <c r="H23" s="118"/>
      <c r="I23" s="118"/>
      <c r="J23" s="36">
        <f>ENUNCIADO!$J$50</f>
        <v>7.0000000000000007E-2</v>
      </c>
      <c r="O23" s="36">
        <v>0.11</v>
      </c>
      <c r="P23" s="43">
        <f>IFERROR(IF(J23=O23,Q23,0),"")</f>
        <v>0</v>
      </c>
      <c r="Q23" s="44">
        <v>10</v>
      </c>
      <c r="R23" s="5"/>
    </row>
    <row r="24" spans="2:18" ht="22.5" customHeight="1" thickBot="1" x14ac:dyDescent="0.3">
      <c r="B24" s="18"/>
      <c r="C24" s="118"/>
      <c r="D24" s="118"/>
      <c r="E24" s="118"/>
      <c r="F24" s="118"/>
      <c r="G24" s="118"/>
      <c r="H24" s="118"/>
      <c r="I24" s="118"/>
      <c r="J24" s="37"/>
      <c r="O24" s="37"/>
      <c r="P24" s="33"/>
      <c r="Q24" s="32"/>
      <c r="R24" s="5"/>
    </row>
    <row r="25" spans="2:18" ht="30" customHeight="1" x14ac:dyDescent="0.25">
      <c r="B25" s="15" t="s">
        <v>50</v>
      </c>
      <c r="C25" s="48"/>
      <c r="D25" s="48"/>
      <c r="E25" s="48"/>
      <c r="F25" s="48"/>
      <c r="G25" s="48"/>
      <c r="H25" s="48"/>
      <c r="I25" s="48"/>
      <c r="J25" s="22"/>
      <c r="O25" s="22"/>
      <c r="P25" s="33"/>
      <c r="Q25" s="32"/>
      <c r="R25" s="5"/>
    </row>
    <row r="26" spans="2:18" ht="15.75" thickBot="1" x14ac:dyDescent="0.3">
      <c r="B26" s="46"/>
      <c r="C26" s="118" t="s">
        <v>40</v>
      </c>
      <c r="D26" s="118"/>
      <c r="E26" s="118"/>
      <c r="F26" s="118"/>
      <c r="G26" s="118"/>
      <c r="H26" s="118"/>
      <c r="I26" s="118"/>
      <c r="J26" s="37"/>
      <c r="O26" s="37"/>
      <c r="P26" s="33"/>
      <c r="Q26" s="32"/>
      <c r="R26" s="5"/>
    </row>
    <row r="27" spans="2:18" ht="38.25" customHeight="1" thickBot="1" x14ac:dyDescent="0.3">
      <c r="B27" s="18" t="s">
        <v>51</v>
      </c>
      <c r="C27" s="114" t="s">
        <v>111</v>
      </c>
      <c r="D27" s="114"/>
      <c r="E27" s="114"/>
      <c r="F27" s="114"/>
      <c r="G27" s="114"/>
      <c r="H27" s="114"/>
      <c r="I27" s="114"/>
      <c r="J27" s="19"/>
      <c r="L27" s="56" t="s">
        <v>85</v>
      </c>
      <c r="O27" s="19" t="s">
        <v>23</v>
      </c>
      <c r="P27" s="40">
        <f>IFERROR(IF(J27=O27,Q27,0),"")</f>
        <v>0</v>
      </c>
      <c r="Q27" s="41"/>
      <c r="R27" s="5"/>
    </row>
    <row r="28" spans="2:18" ht="43.5" customHeight="1" thickBot="1" x14ac:dyDescent="0.3">
      <c r="B28" s="18" t="s">
        <v>52</v>
      </c>
      <c r="C28" s="118" t="s">
        <v>112</v>
      </c>
      <c r="D28" s="118"/>
      <c r="E28" s="118"/>
      <c r="F28" s="118"/>
      <c r="G28" s="118"/>
      <c r="H28" s="118"/>
      <c r="I28" s="118"/>
      <c r="J28" s="27">
        <f>ENUNCIADO!$J$55</f>
        <v>22</v>
      </c>
      <c r="O28" s="27">
        <v>22</v>
      </c>
      <c r="P28" s="43">
        <f>IFERROR(IF(J28=O28,Q28,0),"")</f>
        <v>10</v>
      </c>
      <c r="Q28" s="44">
        <v>10</v>
      </c>
      <c r="R28" s="5"/>
    </row>
    <row r="29" spans="2:18" ht="54.75" customHeight="1" thickBot="1" x14ac:dyDescent="0.3">
      <c r="B29" s="18" t="s">
        <v>53</v>
      </c>
      <c r="C29" s="114" t="s">
        <v>83</v>
      </c>
      <c r="D29" s="114"/>
      <c r="E29" s="114"/>
      <c r="F29" s="114"/>
      <c r="G29" s="114"/>
      <c r="H29" s="114"/>
      <c r="I29" s="114"/>
      <c r="J29" s="19"/>
      <c r="L29" s="56" t="s">
        <v>85</v>
      </c>
      <c r="O29" s="19" t="s">
        <v>23</v>
      </c>
      <c r="P29" s="40">
        <f>IFERROR(IF(J29=O29,Q29,0),"")</f>
        <v>0</v>
      </c>
      <c r="Q29" s="41"/>
      <c r="R29" s="5"/>
    </row>
    <row r="30" spans="2:18" ht="51" customHeight="1" thickBot="1" x14ac:dyDescent="0.3">
      <c r="B30" s="18" t="s">
        <v>54</v>
      </c>
      <c r="C30" s="114" t="s">
        <v>113</v>
      </c>
      <c r="D30" s="114"/>
      <c r="E30" s="114"/>
      <c r="F30" s="114"/>
      <c r="G30" s="114"/>
      <c r="H30" s="114"/>
      <c r="I30" s="114"/>
      <c r="J30" s="19"/>
      <c r="L30" s="56" t="s">
        <v>85</v>
      </c>
      <c r="O30" s="19" t="s">
        <v>23</v>
      </c>
      <c r="P30" s="40">
        <f>IFERROR(IF(J30=O30,Q30,0),"")</f>
        <v>0</v>
      </c>
      <c r="Q30" s="41"/>
      <c r="R30" s="5"/>
    </row>
    <row r="31" spans="2:18" ht="25.5" customHeight="1" thickBot="1" x14ac:dyDescent="0.3">
      <c r="B31" s="18" t="s">
        <v>55</v>
      </c>
      <c r="C31" s="118" t="s">
        <v>114</v>
      </c>
      <c r="D31" s="118"/>
      <c r="E31" s="118"/>
      <c r="F31" s="118"/>
      <c r="G31" s="118"/>
      <c r="H31" s="118"/>
      <c r="I31" s="118"/>
      <c r="J31" s="26" t="str">
        <f>ENUNCIADO!$J$58</f>
        <v>46,300,000</v>
      </c>
      <c r="O31" s="26">
        <v>29200000</v>
      </c>
      <c r="P31" s="43">
        <f>IFERROR(IF(J31=O31,Q31,0),"")</f>
        <v>0</v>
      </c>
      <c r="Q31" s="44">
        <v>10</v>
      </c>
      <c r="R31" s="5"/>
    </row>
    <row r="32" spans="2:18" ht="15.75" customHeight="1" thickBot="1" x14ac:dyDescent="0.3">
      <c r="B32" s="18"/>
      <c r="C32" s="118"/>
      <c r="D32" s="118"/>
      <c r="E32" s="118"/>
      <c r="F32" s="118"/>
      <c r="G32" s="118"/>
      <c r="H32" s="118"/>
      <c r="I32" s="118"/>
      <c r="J32" s="38"/>
      <c r="O32" s="38"/>
      <c r="P32" s="33"/>
      <c r="Q32" s="32"/>
      <c r="R32" s="5"/>
    </row>
    <row r="33" spans="2:18" ht="34.5" customHeight="1" x14ac:dyDescent="0.25">
      <c r="B33" s="15" t="s">
        <v>56</v>
      </c>
      <c r="C33" s="48"/>
      <c r="D33" s="48"/>
      <c r="E33" s="48"/>
      <c r="F33" s="48"/>
      <c r="G33" s="48"/>
      <c r="H33" s="48"/>
      <c r="I33" s="48"/>
      <c r="J33" s="39"/>
      <c r="M33" s="28"/>
      <c r="O33" s="39"/>
      <c r="P33" s="33"/>
      <c r="Q33" s="32"/>
      <c r="R33" s="5"/>
    </row>
    <row r="34" spans="2:18" ht="15.75" thickBot="1" x14ac:dyDescent="0.3">
      <c r="B34" s="46"/>
      <c r="C34" s="118" t="s">
        <v>40</v>
      </c>
      <c r="D34" s="118"/>
      <c r="E34" s="118"/>
      <c r="F34" s="118"/>
      <c r="G34" s="118"/>
      <c r="H34" s="118"/>
      <c r="I34" s="118"/>
      <c r="J34" s="37"/>
      <c r="M34" s="28"/>
      <c r="O34" s="37"/>
      <c r="P34" s="31"/>
      <c r="Q34" s="32"/>
      <c r="R34" s="5"/>
    </row>
    <row r="35" spans="2:18" ht="51.75" customHeight="1" thickBot="1" x14ac:dyDescent="0.3">
      <c r="B35" s="18" t="s">
        <v>57</v>
      </c>
      <c r="C35" s="114" t="s">
        <v>115</v>
      </c>
      <c r="D35" s="114"/>
      <c r="E35" s="114"/>
      <c r="F35" s="114"/>
      <c r="G35" s="114"/>
      <c r="H35" s="114"/>
      <c r="I35" s="114"/>
      <c r="J35" s="19"/>
      <c r="L35" s="56" t="s">
        <v>85</v>
      </c>
      <c r="O35" s="19" t="s">
        <v>23</v>
      </c>
      <c r="P35" s="40">
        <f>IFERROR(IF(J35=O35,Q35,0),"")</f>
        <v>0</v>
      </c>
      <c r="Q35" s="41"/>
      <c r="R35" s="5"/>
    </row>
    <row r="36" spans="2:18" ht="39" customHeight="1" thickBot="1" x14ac:dyDescent="0.3">
      <c r="B36" s="18" t="s">
        <v>58</v>
      </c>
      <c r="C36" s="118" t="s">
        <v>116</v>
      </c>
      <c r="D36" s="118"/>
      <c r="E36" s="118"/>
      <c r="F36" s="118"/>
      <c r="G36" s="118"/>
      <c r="H36" s="118"/>
      <c r="I36" s="118"/>
      <c r="J36" s="27">
        <f>ENUNCIADO!$J$63</f>
        <v>0</v>
      </c>
      <c r="O36" s="27">
        <v>7</v>
      </c>
      <c r="P36" s="43">
        <f>IFERROR(IF(J36=O36,Q36,0),"")</f>
        <v>0</v>
      </c>
      <c r="Q36" s="44">
        <v>10</v>
      </c>
      <c r="R36" s="5"/>
    </row>
    <row r="37" spans="2:18" ht="50.25" customHeight="1" thickBot="1" x14ac:dyDescent="0.3">
      <c r="B37" s="18" t="s">
        <v>70</v>
      </c>
      <c r="C37" s="114" t="s">
        <v>84</v>
      </c>
      <c r="D37" s="114"/>
      <c r="E37" s="114"/>
      <c r="F37" s="114"/>
      <c r="G37" s="114"/>
      <c r="H37" s="114"/>
      <c r="I37" s="114"/>
      <c r="J37" s="19"/>
      <c r="L37" s="56" t="s">
        <v>85</v>
      </c>
      <c r="O37" s="19" t="s">
        <v>23</v>
      </c>
      <c r="P37" s="40">
        <f>IFERROR(IF(J37=O37,Q37,0),"")</f>
        <v>0</v>
      </c>
      <c r="Q37" s="41"/>
      <c r="R37" s="5"/>
    </row>
    <row r="38" spans="2:18" ht="39" customHeight="1" thickBot="1" x14ac:dyDescent="0.3">
      <c r="B38" s="18" t="s">
        <v>71</v>
      </c>
      <c r="C38" s="120" t="s">
        <v>117</v>
      </c>
      <c r="D38" s="121"/>
      <c r="E38" s="121"/>
      <c r="F38" s="121"/>
      <c r="G38" s="121"/>
      <c r="H38" s="121"/>
      <c r="I38" s="121"/>
      <c r="J38" s="26">
        <f>ENUNCIADO!$J$65</f>
        <v>0</v>
      </c>
      <c r="O38" s="26">
        <v>1460000</v>
      </c>
      <c r="P38" s="43">
        <f>IFERROR(IF(J38=O38,Q38,0),"")</f>
        <v>0</v>
      </c>
      <c r="Q38" s="44">
        <v>15</v>
      </c>
      <c r="R38" s="5"/>
    </row>
    <row r="39" spans="2:18" ht="42" customHeight="1" thickBot="1" x14ac:dyDescent="0.3">
      <c r="B39" s="20" t="s">
        <v>77</v>
      </c>
      <c r="C39" s="119" t="s">
        <v>118</v>
      </c>
      <c r="D39" s="119"/>
      <c r="E39" s="119"/>
      <c r="F39" s="119"/>
      <c r="G39" s="119"/>
      <c r="H39" s="119"/>
      <c r="I39" s="119"/>
      <c r="J39" s="26">
        <f>ENUNCIADO!$J$66</f>
        <v>0</v>
      </c>
      <c r="O39" s="26" t="s">
        <v>106</v>
      </c>
      <c r="P39" s="43">
        <f>IFERROR(IF(J39=O39,Q39,0),"")</f>
        <v>0</v>
      </c>
      <c r="Q39" s="44">
        <v>15</v>
      </c>
      <c r="R39" s="5"/>
    </row>
    <row r="40" spans="2:18" x14ac:dyDescent="0.25">
      <c r="Q40" s="5"/>
      <c r="R40" s="5"/>
    </row>
  </sheetData>
  <sheetProtection algorithmName="SHA-512" hashValue="bEgPAuNAmtO8/74IoVVTRTfrDGrppFX4TU2WS8HEWyv5jtOBBJVuyPozly2iDuCc4QDUk6rfkUVTW9/KeLYKwA==" saltValue="Vg3B+mn6hHDpPVvQosifeA==" spinCount="100000" sheet="1" selectLockedCells="1"/>
  <mergeCells count="30">
    <mergeCell ref="C39:I39"/>
    <mergeCell ref="C34:I34"/>
    <mergeCell ref="C35:I35"/>
    <mergeCell ref="C36:I36"/>
    <mergeCell ref="C37:I37"/>
    <mergeCell ref="C38:I38"/>
    <mergeCell ref="C32:I32"/>
    <mergeCell ref="C26:I26"/>
    <mergeCell ref="C27:I27"/>
    <mergeCell ref="C28:I28"/>
    <mergeCell ref="C29:I29"/>
    <mergeCell ref="C31:I31"/>
    <mergeCell ref="C30:I30"/>
    <mergeCell ref="C24:I24"/>
    <mergeCell ref="C10:I10"/>
    <mergeCell ref="C13:I13"/>
    <mergeCell ref="C14:I14"/>
    <mergeCell ref="C15:I15"/>
    <mergeCell ref="C16:I16"/>
    <mergeCell ref="C17:I17"/>
    <mergeCell ref="C20:I20"/>
    <mergeCell ref="C21:I21"/>
    <mergeCell ref="C22:I22"/>
    <mergeCell ref="C18:I18"/>
    <mergeCell ref="C23:I23"/>
    <mergeCell ref="C3:I3"/>
    <mergeCell ref="C4:I4"/>
    <mergeCell ref="C6:I6"/>
    <mergeCell ref="C8:I8"/>
    <mergeCell ref="C9:I9"/>
  </mergeCells>
  <hyperlinks>
    <hyperlink ref="C3:I3" location="'1,2'!A1" display="Divida los datos en columnas, luego cópielos y péguelos en la hoja (1,2)" xr:uid="{E17E6A34-203C-4904-925D-4FDCFE0EC54C}"/>
    <hyperlink ref="C6:I6" location="'1,2'!A1" display="Asigne formato basico (Bordes, rellenos, etc) a los datos divididos en la hoja (1,2)." xr:uid="{4D1D9C05-F5EA-4EBD-9A0C-B101908429B9}"/>
    <hyperlink ref="C8:I8" location="'3'!A1" display="Filtre la tabla que acaba de realizar en la hoja (1,2) mostrando solamente a las personas de seccional Bogotá. Copie y pegue los resultados en la hoja (3)" xr:uid="{043E2D7A-825D-4F1B-841B-D051E5F786DA}"/>
    <hyperlink ref="C9:I9" location="'3'!A1" display="Con la copia de los resultados, cree un gráfico de columna agrupada representando el Salario y el Nombre del empleado, ordénelo de menor a mayor en la columna Salario y agregue etiquetas de datos y línea de tendencia lineal." xr:uid="{FA32C834-B2E0-4428-ABC3-21135592E782}"/>
    <hyperlink ref="C14:I14" location="'4'!A1" display="Filtre la tabla mostrando solamente a las personas de cargo Docente con un total de (20 o más) días trabajados. Copie y pegue los resultados en la hoja &quot;(4)&quot;" xr:uid="{B736722F-C15A-4406-881A-8D875E6D2281}"/>
    <hyperlink ref="C15:I15" location="'4'!A1" display="Con la copia de los resultados cree un gráfico de Línea representando los Días Trabajados y el Nombre del empleado. Ordénelo de mayor a menor en la columna Días Trabaj.  y agregue títulos a los ejes." xr:uid="{98263AE6-5DF9-432D-A020-658B960FDB7D}"/>
    <hyperlink ref="C21:I21" location="'5'!A1" display="Filtre la tabla mostrando solamente a las personas cuyo Nombre contiene la letra &quot;a&quot; y &quot;o&quot; (al mismo tiempo). Copie y pegue los resultados en la hoja &quot;(5)&quot;" xr:uid="{9A08E103-8814-4D31-AE3A-1DEB0B18AABD}"/>
    <hyperlink ref="C22:I22" location="'5'!A1" display="Con la copia de los resultados cree un gráfico Circular 3D representando el Salario y el Apellido del empleado, agregue porcentajes al gráfico." xr:uid="{C9CF05C9-9B17-4CB2-8F56-844B31253540}"/>
    <hyperlink ref="C27:I27" location="'6'!A1" display="Filtre la tabla mostrando solamente a las personas con los 9 salarios mas altos. Copie y pegue los resultados en la hoja &quot;(6)&quot;" xr:uid="{AA3070F5-EA30-4D9B-940E-F3C4AED6B304}"/>
    <hyperlink ref="C29:I29" location="'6'!A1" display="Con la copia de los resultados cree un gráfico dinámico (Gráfico de Columna Agrupada 3D) en la misma hoja (6) representando el Salario y el Nombre del empleado ordenando de mayor a menor en la columna Salario de la tabla dinámica." xr:uid="{39AC5F3D-AE02-4620-BD3F-892816659E7B}"/>
    <hyperlink ref="C30:I30" location="'6'!A1" display="Al gráfico dinámico, insértele una segmentación de datos que muestre solo los Docentes." xr:uid="{DB255B95-6DAC-4D59-9F14-F16A08634CF7}"/>
    <hyperlink ref="C35:I35" location="'7'!A1" display="Dirígete a la hoja (7) y con la formula (BUSCARV) agrega el Salario correspondiente a cada ID empleado" xr:uid="{9832D28E-98E7-4611-90D1-1351B48263F5}"/>
    <hyperlink ref="C37:I37" location="'7'!A1" display="Crea una regla de formato condicional para que las celdas de los Salarios menores a $3,000,000 aparezcan en rojo" xr:uid="{491AD2C0-45D4-4A7B-9056-2C9D6C6A1991}"/>
  </hyperlinks>
  <pageMargins left="0.7" right="0.7" top="0.75" bottom="0.75" header="0.3" footer="0.3"/>
  <pageSetup orientation="portrait" verticalDpi="597" r:id="rId1"/>
  <drawing r:id="rId2"/>
  <legacyDrawing r:id="rId3"/>
  <controls>
    <mc:AlternateContent xmlns:mc="http://schemas.openxmlformats.org/markup-compatibility/2006">
      <mc:Choice Requires="x14">
        <control shapeId="9250" r:id="rId4" name="OptionButton26">
          <controlPr defaultSize="0" autoLine="0" r:id="rId5">
            <anchor moveWithCells="1" sizeWithCells="1">
              <from>
                <xdr:col>10</xdr:col>
                <xdr:colOff>828675</xdr:colOff>
                <xdr:row>36</xdr:row>
                <xdr:rowOff>161925</xdr:rowOff>
              </from>
              <to>
                <xdr:col>10</xdr:col>
                <xdr:colOff>1238250</xdr:colOff>
                <xdr:row>36</xdr:row>
                <xdr:rowOff>457200</xdr:rowOff>
              </to>
            </anchor>
          </controlPr>
        </control>
      </mc:Choice>
      <mc:Fallback>
        <control shapeId="9250" r:id="rId4" name="OptionButton26"/>
      </mc:Fallback>
    </mc:AlternateContent>
    <mc:AlternateContent xmlns:mc="http://schemas.openxmlformats.org/markup-compatibility/2006">
      <mc:Choice Requires="x14">
        <control shapeId="9249" r:id="rId6" name="OptionButton25">
          <controlPr defaultSize="0" autoLine="0" r:id="rId7">
            <anchor moveWithCells="1" sizeWithCells="1">
              <from>
                <xdr:col>10</xdr:col>
                <xdr:colOff>209550</xdr:colOff>
                <xdr:row>36</xdr:row>
                <xdr:rowOff>161925</xdr:rowOff>
              </from>
              <to>
                <xdr:col>10</xdr:col>
                <xdr:colOff>571500</xdr:colOff>
                <xdr:row>36</xdr:row>
                <xdr:rowOff>457200</xdr:rowOff>
              </to>
            </anchor>
          </controlPr>
        </control>
      </mc:Choice>
      <mc:Fallback>
        <control shapeId="9249" r:id="rId6" name="OptionButton25"/>
      </mc:Fallback>
    </mc:AlternateContent>
    <mc:AlternateContent xmlns:mc="http://schemas.openxmlformats.org/markup-compatibility/2006">
      <mc:Choice Requires="x14">
        <control shapeId="9248" r:id="rId8" name="OptionButton24">
          <controlPr defaultSize="0" autoLine="0" r:id="rId9">
            <anchor moveWithCells="1" sizeWithCells="1">
              <from>
                <xdr:col>10</xdr:col>
                <xdr:colOff>828675</xdr:colOff>
                <xdr:row>34</xdr:row>
                <xdr:rowOff>190500</xdr:rowOff>
              </from>
              <to>
                <xdr:col>10</xdr:col>
                <xdr:colOff>1238250</xdr:colOff>
                <xdr:row>34</xdr:row>
                <xdr:rowOff>485775</xdr:rowOff>
              </to>
            </anchor>
          </controlPr>
        </control>
      </mc:Choice>
      <mc:Fallback>
        <control shapeId="9248" r:id="rId8" name="OptionButton24"/>
      </mc:Fallback>
    </mc:AlternateContent>
    <mc:AlternateContent xmlns:mc="http://schemas.openxmlformats.org/markup-compatibility/2006">
      <mc:Choice Requires="x14">
        <control shapeId="9247" r:id="rId10" name="OptionButton23">
          <controlPr defaultSize="0" autoLine="0" r:id="rId11">
            <anchor moveWithCells="1" sizeWithCells="1">
              <from>
                <xdr:col>10</xdr:col>
                <xdr:colOff>209550</xdr:colOff>
                <xdr:row>34</xdr:row>
                <xdr:rowOff>190500</xdr:rowOff>
              </from>
              <to>
                <xdr:col>10</xdr:col>
                <xdr:colOff>571500</xdr:colOff>
                <xdr:row>34</xdr:row>
                <xdr:rowOff>485775</xdr:rowOff>
              </to>
            </anchor>
          </controlPr>
        </control>
      </mc:Choice>
      <mc:Fallback>
        <control shapeId="9247" r:id="rId10" name="OptionButton23"/>
      </mc:Fallback>
    </mc:AlternateContent>
    <mc:AlternateContent xmlns:mc="http://schemas.openxmlformats.org/markup-compatibility/2006">
      <mc:Choice Requires="x14">
        <control shapeId="9246" r:id="rId12" name="OptionButton22">
          <controlPr defaultSize="0" autoLine="0" r:id="rId13">
            <anchor moveWithCells="1" sizeWithCells="1">
              <from>
                <xdr:col>10</xdr:col>
                <xdr:colOff>838200</xdr:colOff>
                <xdr:row>29</xdr:row>
                <xdr:rowOff>200025</xdr:rowOff>
              </from>
              <to>
                <xdr:col>10</xdr:col>
                <xdr:colOff>1247775</xdr:colOff>
                <xdr:row>29</xdr:row>
                <xdr:rowOff>495300</xdr:rowOff>
              </to>
            </anchor>
          </controlPr>
        </control>
      </mc:Choice>
      <mc:Fallback>
        <control shapeId="9246" r:id="rId12" name="OptionButton22"/>
      </mc:Fallback>
    </mc:AlternateContent>
    <mc:AlternateContent xmlns:mc="http://schemas.openxmlformats.org/markup-compatibility/2006">
      <mc:Choice Requires="x14">
        <control shapeId="9245" r:id="rId14" name="OptionButton21">
          <controlPr defaultSize="0" autoLine="0" r:id="rId15">
            <anchor moveWithCells="1" sizeWithCells="1">
              <from>
                <xdr:col>10</xdr:col>
                <xdr:colOff>219075</xdr:colOff>
                <xdr:row>29</xdr:row>
                <xdr:rowOff>190500</xdr:rowOff>
              </from>
              <to>
                <xdr:col>10</xdr:col>
                <xdr:colOff>581025</xdr:colOff>
                <xdr:row>29</xdr:row>
                <xdr:rowOff>504825</xdr:rowOff>
              </to>
            </anchor>
          </controlPr>
        </control>
      </mc:Choice>
      <mc:Fallback>
        <control shapeId="9245" r:id="rId14" name="OptionButton21"/>
      </mc:Fallback>
    </mc:AlternateContent>
    <mc:AlternateContent xmlns:mc="http://schemas.openxmlformats.org/markup-compatibility/2006">
      <mc:Choice Requires="x14">
        <control shapeId="9244" r:id="rId16" name="OptionButton20">
          <controlPr defaultSize="0" autoLine="0" autoPict="0" r:id="rId17">
            <anchor moveWithCells="1" sizeWithCells="1">
              <from>
                <xdr:col>10</xdr:col>
                <xdr:colOff>838200</xdr:colOff>
                <xdr:row>28</xdr:row>
                <xdr:rowOff>171450</xdr:rowOff>
              </from>
              <to>
                <xdr:col>10</xdr:col>
                <xdr:colOff>1247775</xdr:colOff>
                <xdr:row>28</xdr:row>
                <xdr:rowOff>466725</xdr:rowOff>
              </to>
            </anchor>
          </controlPr>
        </control>
      </mc:Choice>
      <mc:Fallback>
        <control shapeId="9244" r:id="rId16" name="OptionButton20"/>
      </mc:Fallback>
    </mc:AlternateContent>
    <mc:AlternateContent xmlns:mc="http://schemas.openxmlformats.org/markup-compatibility/2006">
      <mc:Choice Requires="x14">
        <control shapeId="9243" r:id="rId18" name="OptionButton19">
          <controlPr defaultSize="0" autoLine="0" autoPict="0" r:id="rId19">
            <anchor moveWithCells="1" sizeWithCells="1">
              <from>
                <xdr:col>10</xdr:col>
                <xdr:colOff>219075</xdr:colOff>
                <xdr:row>28</xdr:row>
                <xdr:rowOff>171450</xdr:rowOff>
              </from>
              <to>
                <xdr:col>10</xdr:col>
                <xdr:colOff>581025</xdr:colOff>
                <xdr:row>28</xdr:row>
                <xdr:rowOff>466725</xdr:rowOff>
              </to>
            </anchor>
          </controlPr>
        </control>
      </mc:Choice>
      <mc:Fallback>
        <control shapeId="9243" r:id="rId18" name="OptionButton19"/>
      </mc:Fallback>
    </mc:AlternateContent>
    <mc:AlternateContent xmlns:mc="http://schemas.openxmlformats.org/markup-compatibility/2006">
      <mc:Choice Requires="x14">
        <control shapeId="9242" r:id="rId20" name="OptionButton18">
          <controlPr defaultSize="0" autoLine="0" autoPict="0" r:id="rId21">
            <anchor moveWithCells="1" sizeWithCells="1">
              <from>
                <xdr:col>10</xdr:col>
                <xdr:colOff>838200</xdr:colOff>
                <xdr:row>26</xdr:row>
                <xdr:rowOff>114300</xdr:rowOff>
              </from>
              <to>
                <xdr:col>10</xdr:col>
                <xdr:colOff>1247775</xdr:colOff>
                <xdr:row>26</xdr:row>
                <xdr:rowOff>409575</xdr:rowOff>
              </to>
            </anchor>
          </controlPr>
        </control>
      </mc:Choice>
      <mc:Fallback>
        <control shapeId="9242" r:id="rId20" name="OptionButton18"/>
      </mc:Fallback>
    </mc:AlternateContent>
    <mc:AlternateContent xmlns:mc="http://schemas.openxmlformats.org/markup-compatibility/2006">
      <mc:Choice Requires="x14">
        <control shapeId="9241" r:id="rId22" name="OptionButton17">
          <controlPr defaultSize="0" autoLine="0" autoPict="0" r:id="rId23">
            <anchor moveWithCells="1" sizeWithCells="1">
              <from>
                <xdr:col>10</xdr:col>
                <xdr:colOff>219075</xdr:colOff>
                <xdr:row>26</xdr:row>
                <xdr:rowOff>114300</xdr:rowOff>
              </from>
              <to>
                <xdr:col>10</xdr:col>
                <xdr:colOff>581025</xdr:colOff>
                <xdr:row>26</xdr:row>
                <xdr:rowOff>409575</xdr:rowOff>
              </to>
            </anchor>
          </controlPr>
        </control>
      </mc:Choice>
      <mc:Fallback>
        <control shapeId="9241" r:id="rId22" name="OptionButton17"/>
      </mc:Fallback>
    </mc:AlternateContent>
    <mc:AlternateContent xmlns:mc="http://schemas.openxmlformats.org/markup-compatibility/2006">
      <mc:Choice Requires="x14">
        <control shapeId="9240" r:id="rId24" name="OptionButton16">
          <controlPr defaultSize="0" autoLine="0" r:id="rId25">
            <anchor moveWithCells="1" sizeWithCells="1">
              <from>
                <xdr:col>10</xdr:col>
                <xdr:colOff>838200</xdr:colOff>
                <xdr:row>21</xdr:row>
                <xdr:rowOff>85725</xdr:rowOff>
              </from>
              <to>
                <xdr:col>10</xdr:col>
                <xdr:colOff>1247775</xdr:colOff>
                <xdr:row>21</xdr:row>
                <xdr:rowOff>381000</xdr:rowOff>
              </to>
            </anchor>
          </controlPr>
        </control>
      </mc:Choice>
      <mc:Fallback>
        <control shapeId="9240" r:id="rId24" name="OptionButton16"/>
      </mc:Fallback>
    </mc:AlternateContent>
    <mc:AlternateContent xmlns:mc="http://schemas.openxmlformats.org/markup-compatibility/2006">
      <mc:Choice Requires="x14">
        <control shapeId="9239" r:id="rId26" name="OptionButton15">
          <controlPr defaultSize="0" autoLine="0" r:id="rId27">
            <anchor moveWithCells="1" sizeWithCells="1">
              <from>
                <xdr:col>10</xdr:col>
                <xdr:colOff>219075</xdr:colOff>
                <xdr:row>21</xdr:row>
                <xdr:rowOff>85725</xdr:rowOff>
              </from>
              <to>
                <xdr:col>10</xdr:col>
                <xdr:colOff>581025</xdr:colOff>
                <xdr:row>21</xdr:row>
                <xdr:rowOff>381000</xdr:rowOff>
              </to>
            </anchor>
          </controlPr>
        </control>
      </mc:Choice>
      <mc:Fallback>
        <control shapeId="9239" r:id="rId26" name="OptionButton15"/>
      </mc:Fallback>
    </mc:AlternateContent>
    <mc:AlternateContent xmlns:mc="http://schemas.openxmlformats.org/markup-compatibility/2006">
      <mc:Choice Requires="x14">
        <control shapeId="9238" r:id="rId28" name="OptionButton14">
          <controlPr defaultSize="0" autoLine="0" r:id="rId29">
            <anchor moveWithCells="1" sizeWithCells="1">
              <from>
                <xdr:col>10</xdr:col>
                <xdr:colOff>838200</xdr:colOff>
                <xdr:row>20</xdr:row>
                <xdr:rowOff>123825</xdr:rowOff>
              </from>
              <to>
                <xdr:col>10</xdr:col>
                <xdr:colOff>1247775</xdr:colOff>
                <xdr:row>20</xdr:row>
                <xdr:rowOff>419100</xdr:rowOff>
              </to>
            </anchor>
          </controlPr>
        </control>
      </mc:Choice>
      <mc:Fallback>
        <control shapeId="9238" r:id="rId28" name="OptionButton14"/>
      </mc:Fallback>
    </mc:AlternateContent>
    <mc:AlternateContent xmlns:mc="http://schemas.openxmlformats.org/markup-compatibility/2006">
      <mc:Choice Requires="x14">
        <control shapeId="9237" r:id="rId30" name="OptionButton13">
          <controlPr defaultSize="0" autoLine="0" r:id="rId31">
            <anchor moveWithCells="1" sizeWithCells="1">
              <from>
                <xdr:col>10</xdr:col>
                <xdr:colOff>238125</xdr:colOff>
                <xdr:row>20</xdr:row>
                <xdr:rowOff>123825</xdr:rowOff>
              </from>
              <to>
                <xdr:col>10</xdr:col>
                <xdr:colOff>600075</xdr:colOff>
                <xdr:row>20</xdr:row>
                <xdr:rowOff>419100</xdr:rowOff>
              </to>
            </anchor>
          </controlPr>
        </control>
      </mc:Choice>
      <mc:Fallback>
        <control shapeId="9237" r:id="rId30" name="OptionButton13"/>
      </mc:Fallback>
    </mc:AlternateContent>
    <mc:AlternateContent xmlns:mc="http://schemas.openxmlformats.org/markup-compatibility/2006">
      <mc:Choice Requires="x14">
        <control shapeId="9236" r:id="rId32" name="OptionButton12">
          <controlPr defaultSize="0" autoLine="0" autoPict="0" r:id="rId33">
            <anchor moveWithCells="1" sizeWithCells="1">
              <from>
                <xdr:col>10</xdr:col>
                <xdr:colOff>838200</xdr:colOff>
                <xdr:row>14</xdr:row>
                <xdr:rowOff>238125</xdr:rowOff>
              </from>
              <to>
                <xdr:col>10</xdr:col>
                <xdr:colOff>1247775</xdr:colOff>
                <xdr:row>14</xdr:row>
                <xdr:rowOff>533400</xdr:rowOff>
              </to>
            </anchor>
          </controlPr>
        </control>
      </mc:Choice>
      <mc:Fallback>
        <control shapeId="9236" r:id="rId32" name="OptionButton12"/>
      </mc:Fallback>
    </mc:AlternateContent>
    <mc:AlternateContent xmlns:mc="http://schemas.openxmlformats.org/markup-compatibility/2006">
      <mc:Choice Requires="x14">
        <control shapeId="9235" r:id="rId34" name="OptionButton11">
          <controlPr defaultSize="0" autoLine="0" autoPict="0" r:id="rId35">
            <anchor moveWithCells="1" sizeWithCells="1">
              <from>
                <xdr:col>10</xdr:col>
                <xdr:colOff>219075</xdr:colOff>
                <xdr:row>14</xdr:row>
                <xdr:rowOff>238125</xdr:rowOff>
              </from>
              <to>
                <xdr:col>10</xdr:col>
                <xdr:colOff>581025</xdr:colOff>
                <xdr:row>14</xdr:row>
                <xdr:rowOff>514350</xdr:rowOff>
              </to>
            </anchor>
          </controlPr>
        </control>
      </mc:Choice>
      <mc:Fallback>
        <control shapeId="9235" r:id="rId34" name="OptionButton11"/>
      </mc:Fallback>
    </mc:AlternateContent>
    <mc:AlternateContent xmlns:mc="http://schemas.openxmlformats.org/markup-compatibility/2006">
      <mc:Choice Requires="x14">
        <control shapeId="9234" r:id="rId36" name="OptionButton10">
          <controlPr defaultSize="0" autoLine="0" r:id="rId37">
            <anchor moveWithCells="1" sizeWithCells="1">
              <from>
                <xdr:col>10</xdr:col>
                <xdr:colOff>838200</xdr:colOff>
                <xdr:row>13</xdr:row>
                <xdr:rowOff>152400</xdr:rowOff>
              </from>
              <to>
                <xdr:col>10</xdr:col>
                <xdr:colOff>1247775</xdr:colOff>
                <xdr:row>13</xdr:row>
                <xdr:rowOff>447675</xdr:rowOff>
              </to>
            </anchor>
          </controlPr>
        </control>
      </mc:Choice>
      <mc:Fallback>
        <control shapeId="9234" r:id="rId36" name="OptionButton10"/>
      </mc:Fallback>
    </mc:AlternateContent>
    <mc:AlternateContent xmlns:mc="http://schemas.openxmlformats.org/markup-compatibility/2006">
      <mc:Choice Requires="x14">
        <control shapeId="9233" r:id="rId38" name="OptionButton9">
          <controlPr defaultSize="0" autoLine="0" r:id="rId39">
            <anchor moveWithCells="1" sizeWithCells="1">
              <from>
                <xdr:col>10</xdr:col>
                <xdr:colOff>180975</xdr:colOff>
                <xdr:row>13</xdr:row>
                <xdr:rowOff>152400</xdr:rowOff>
              </from>
              <to>
                <xdr:col>10</xdr:col>
                <xdr:colOff>542925</xdr:colOff>
                <xdr:row>13</xdr:row>
                <xdr:rowOff>447675</xdr:rowOff>
              </to>
            </anchor>
          </controlPr>
        </control>
      </mc:Choice>
      <mc:Fallback>
        <control shapeId="9233" r:id="rId38" name="OptionButton9"/>
      </mc:Fallback>
    </mc:AlternateContent>
    <mc:AlternateContent xmlns:mc="http://schemas.openxmlformats.org/markup-compatibility/2006">
      <mc:Choice Requires="x14">
        <control shapeId="9229" r:id="rId40" name="OptionButton8">
          <controlPr defaultSize="0" autoLine="0" autoPict="0" r:id="rId41">
            <anchor moveWithCells="1" sizeWithCells="1">
              <from>
                <xdr:col>10</xdr:col>
                <xdr:colOff>838200</xdr:colOff>
                <xdr:row>8</xdr:row>
                <xdr:rowOff>209550</xdr:rowOff>
              </from>
              <to>
                <xdr:col>10</xdr:col>
                <xdr:colOff>1247775</xdr:colOff>
                <xdr:row>8</xdr:row>
                <xdr:rowOff>504825</xdr:rowOff>
              </to>
            </anchor>
          </controlPr>
        </control>
      </mc:Choice>
      <mc:Fallback>
        <control shapeId="9229" r:id="rId40" name="OptionButton8"/>
      </mc:Fallback>
    </mc:AlternateContent>
    <mc:AlternateContent xmlns:mc="http://schemas.openxmlformats.org/markup-compatibility/2006">
      <mc:Choice Requires="x14">
        <control shapeId="9228" r:id="rId42" name="OptionButton7">
          <controlPr defaultSize="0" autoLine="0" autoPict="0" r:id="rId43">
            <anchor moveWithCells="1" sizeWithCells="1">
              <from>
                <xdr:col>10</xdr:col>
                <xdr:colOff>219075</xdr:colOff>
                <xdr:row>8</xdr:row>
                <xdr:rowOff>209550</xdr:rowOff>
              </from>
              <to>
                <xdr:col>10</xdr:col>
                <xdr:colOff>581025</xdr:colOff>
                <xdr:row>8</xdr:row>
                <xdr:rowOff>504825</xdr:rowOff>
              </to>
            </anchor>
          </controlPr>
        </control>
      </mc:Choice>
      <mc:Fallback>
        <control shapeId="9228" r:id="rId42" name="OptionButton7"/>
      </mc:Fallback>
    </mc:AlternateContent>
    <mc:AlternateContent xmlns:mc="http://schemas.openxmlformats.org/markup-compatibility/2006">
      <mc:Choice Requires="x14">
        <control shapeId="9226" r:id="rId44" name="OptionButton6">
          <controlPr defaultSize="0" autoLine="0" autoPict="0" r:id="rId45">
            <anchor moveWithCells="1" sizeWithCells="1">
              <from>
                <xdr:col>10</xdr:col>
                <xdr:colOff>838200</xdr:colOff>
                <xdr:row>7</xdr:row>
                <xdr:rowOff>95250</xdr:rowOff>
              </from>
              <to>
                <xdr:col>10</xdr:col>
                <xdr:colOff>1247775</xdr:colOff>
                <xdr:row>7</xdr:row>
                <xdr:rowOff>390525</xdr:rowOff>
              </to>
            </anchor>
          </controlPr>
        </control>
      </mc:Choice>
      <mc:Fallback>
        <control shapeId="9226" r:id="rId44" name="OptionButton6"/>
      </mc:Fallback>
    </mc:AlternateContent>
    <mc:AlternateContent xmlns:mc="http://schemas.openxmlformats.org/markup-compatibility/2006">
      <mc:Choice Requires="x14">
        <control shapeId="9225" r:id="rId46" name="OptionButton5">
          <controlPr defaultSize="0" autoLine="0" autoPict="0" r:id="rId47">
            <anchor moveWithCells="1" sizeWithCells="1">
              <from>
                <xdr:col>10</xdr:col>
                <xdr:colOff>219075</xdr:colOff>
                <xdr:row>7</xdr:row>
                <xdr:rowOff>85725</xdr:rowOff>
              </from>
              <to>
                <xdr:col>10</xdr:col>
                <xdr:colOff>581025</xdr:colOff>
                <xdr:row>7</xdr:row>
                <xdr:rowOff>381000</xdr:rowOff>
              </to>
            </anchor>
          </controlPr>
        </control>
      </mc:Choice>
      <mc:Fallback>
        <control shapeId="9225" r:id="rId46" name="OptionButton5"/>
      </mc:Fallback>
    </mc:AlternateContent>
    <mc:AlternateContent xmlns:mc="http://schemas.openxmlformats.org/markup-compatibility/2006">
      <mc:Choice Requires="x14">
        <control shapeId="9224" r:id="rId48" name="OptionButton4">
          <controlPr defaultSize="0" autoLine="0" autoPict="0" r:id="rId49">
            <anchor moveWithCells="1" sizeWithCells="1">
              <from>
                <xdr:col>10</xdr:col>
                <xdr:colOff>838200</xdr:colOff>
                <xdr:row>4</xdr:row>
                <xdr:rowOff>161925</xdr:rowOff>
              </from>
              <to>
                <xdr:col>10</xdr:col>
                <xdr:colOff>1247775</xdr:colOff>
                <xdr:row>6</xdr:row>
                <xdr:rowOff>57150</xdr:rowOff>
              </to>
            </anchor>
          </controlPr>
        </control>
      </mc:Choice>
      <mc:Fallback>
        <control shapeId="9224" r:id="rId48" name="OptionButton4"/>
      </mc:Fallback>
    </mc:AlternateContent>
    <mc:AlternateContent xmlns:mc="http://schemas.openxmlformats.org/markup-compatibility/2006">
      <mc:Choice Requires="x14">
        <control shapeId="9223" r:id="rId50" name="OptionButton3">
          <controlPr defaultSize="0" autoLine="0" autoPict="0" r:id="rId51">
            <anchor moveWithCells="1" sizeWithCells="1">
              <from>
                <xdr:col>10</xdr:col>
                <xdr:colOff>219075</xdr:colOff>
                <xdr:row>4</xdr:row>
                <xdr:rowOff>161925</xdr:rowOff>
              </from>
              <to>
                <xdr:col>10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9223" r:id="rId50" name="OptionButton3"/>
      </mc:Fallback>
    </mc:AlternateContent>
    <mc:AlternateContent xmlns:mc="http://schemas.openxmlformats.org/markup-compatibility/2006">
      <mc:Choice Requires="x14">
        <control shapeId="9219" r:id="rId52" name="OptionButton2">
          <controlPr defaultSize="0" autoLine="0" r:id="rId53">
            <anchor moveWithCells="1" sizeWithCells="1">
              <from>
                <xdr:col>10</xdr:col>
                <xdr:colOff>847725</xdr:colOff>
                <xdr:row>2</xdr:row>
                <xdr:rowOff>142875</xdr:rowOff>
              </from>
              <to>
                <xdr:col>10</xdr:col>
                <xdr:colOff>1257300</xdr:colOff>
                <xdr:row>2</xdr:row>
                <xdr:rowOff>447675</xdr:rowOff>
              </to>
            </anchor>
          </controlPr>
        </control>
      </mc:Choice>
      <mc:Fallback>
        <control shapeId="9219" r:id="rId52" name="OptionButton2"/>
      </mc:Fallback>
    </mc:AlternateContent>
    <mc:AlternateContent xmlns:mc="http://schemas.openxmlformats.org/markup-compatibility/2006">
      <mc:Choice Requires="x14">
        <control shapeId="9218" r:id="rId54" name="OptionButton1">
          <controlPr defaultSize="0" autoLine="0" r:id="rId55">
            <anchor moveWithCells="1" sizeWithCells="1">
              <from>
                <xdr:col>10</xdr:col>
                <xdr:colOff>219075</xdr:colOff>
                <xdr:row>2</xdr:row>
                <xdr:rowOff>142875</xdr:rowOff>
              </from>
              <to>
                <xdr:col>10</xdr:col>
                <xdr:colOff>581025</xdr:colOff>
                <xdr:row>2</xdr:row>
                <xdr:rowOff>447675</xdr:rowOff>
              </to>
            </anchor>
          </controlPr>
        </control>
      </mc:Choice>
      <mc:Fallback>
        <control shapeId="9218" r:id="rId54" name="Option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2A4DEB889B36428F8A3C983CC61DC0" ma:contentTypeVersion="17" ma:contentTypeDescription="Create a new document." ma:contentTypeScope="" ma:versionID="20f375351d7a76f2b8e2f8cdae139ca8">
  <xsd:schema xmlns:xsd="http://www.w3.org/2001/XMLSchema" xmlns:xs="http://www.w3.org/2001/XMLSchema" xmlns:p="http://schemas.microsoft.com/office/2006/metadata/properties" xmlns:ns2="fcb77948-4fcc-4703-854f-e08f00d2f59c" xmlns:ns3="62a341d8-97c8-4363-b44e-43e1af24f2b2" targetNamespace="http://schemas.microsoft.com/office/2006/metadata/properties" ma:root="true" ma:fieldsID="27af9288b6e49ffce56b4e65d786f0e0" ns2:_="" ns3:_="">
    <xsd:import namespace="fcb77948-4fcc-4703-854f-e08f00d2f59c"/>
    <xsd:import namespace="62a341d8-97c8-4363-b44e-43e1af24f2b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2:MediaServiceLocation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b77948-4fcc-4703-854f-e08f00d2f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b9ae8bc6-2808-436b-8758-b62c6fb37c0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a341d8-97c8-4363-b44e-43e1af24f2b2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cb77948-4fcc-4703-854f-e08f00d2f59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3169189-933E-47D7-B0E9-576432223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b77948-4fcc-4703-854f-e08f00d2f59c"/>
    <ds:schemaRef ds:uri="62a341d8-97c8-4363-b44e-43e1af24f2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911FA9-9AB3-485E-B97C-E7A51EFC72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48CA20-C033-40F2-96B7-7CC3A7128E88}">
  <ds:schemaRefs>
    <ds:schemaRef ds:uri="http://www.w3.org/XML/1998/namespace"/>
    <ds:schemaRef ds:uri="62a341d8-97c8-4363-b44e-43e1af24f2b2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purl.org/dc/elements/1.1/"/>
    <ds:schemaRef ds:uri="http://schemas.microsoft.com/office/infopath/2007/PartnerControls"/>
    <ds:schemaRef ds:uri="fcb77948-4fcc-4703-854f-e08f00d2f59c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Formulario</vt:lpstr>
      <vt:lpstr>ENUNCIADO</vt:lpstr>
      <vt:lpstr>1,2</vt:lpstr>
      <vt:lpstr>3</vt:lpstr>
      <vt:lpstr>4</vt:lpstr>
      <vt:lpstr>5</vt:lpstr>
      <vt:lpstr>6</vt:lpstr>
      <vt:lpstr>7</vt:lpstr>
      <vt:lpstr>Respuestas &amp; Puntos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Prueba de Excel Intermedio</dc:title>
  <dc:creator>JUANDAVID.NAVARROHIGUERA@pepsico.com</dc:creator>
  <cp:lastModifiedBy>ASTRIT VIVIANA GONZALEZ</cp:lastModifiedBy>
  <dcterms:created xsi:type="dcterms:W3CDTF">2019-03-19T14:08:28Z</dcterms:created>
  <dcterms:modified xsi:type="dcterms:W3CDTF">2026-10-15T22:35:55Z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0x0101001C2A4DEB889B36428F8A3C983CC61DC0</vt:lpwstr>
  </property>
</Properties>
</file>